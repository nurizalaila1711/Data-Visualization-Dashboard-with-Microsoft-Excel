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hidePivotFieldList="1" defaultThemeVersion="166925"/>
  <mc:AlternateContent xmlns:mc="http://schemas.openxmlformats.org/markup-compatibility/2006">
    <mc:Choice Requires="x15">
      <x15ac:absPath xmlns:x15ac="http://schemas.microsoft.com/office/spreadsheetml/2010/11/ac" url="https://d.docs.live.net/5583b336b37bf774/Documents/"/>
    </mc:Choice>
  </mc:AlternateContent>
  <xr:revisionPtr revIDLastSave="0" documentId="8_{7F387757-476B-49CB-984F-AF96543A8936}" xr6:coauthVersionLast="47" xr6:coauthVersionMax="47" xr10:uidLastSave="{00000000-0000-0000-0000-000000000000}"/>
  <bookViews>
    <workbookView xWindow="-120" yWindow="-120" windowWidth="20730" windowHeight="11040" firstSheet="4" activeTab="5" xr2:uid="{2F2993FE-8269-497F-B794-A252774449F5}"/>
  </bookViews>
  <sheets>
    <sheet name="Data" sheetId="1" state="hidden" r:id="rId1"/>
    <sheet name="PivotTable" sheetId="9" state="hidden" r:id="rId2"/>
    <sheet name="Data Tambahan" sheetId="15" state="hidden" r:id="rId3"/>
    <sheet name="PivotTableTambahan" sheetId="16" state="hidden" r:id="rId4"/>
    <sheet name="Dashboard" sheetId="8" r:id="rId5"/>
    <sheet name="Tampilan" sheetId="17" r:id="rId6"/>
  </sheets>
  <definedNames>
    <definedName name="_xlcn.WorksheetConnection_LapPKL.xlsxTable21" hidden="1">Table2[]</definedName>
    <definedName name="_xlcn.WorksheetConnection_LapPKL.xlsxTable71" hidden="1">Table7</definedName>
    <definedName name="Slicer_Tahun">#N/A</definedName>
    <definedName name="Slicer_Tahun1">#N/A</definedName>
  </definedNames>
  <calcPr calcId="191029"/>
  <pivotCaches>
    <pivotCache cacheId="2" r:id="rId7"/>
    <pivotCache cacheId="3" r:id="rId8"/>
  </pivotCaches>
  <extLst>
    <ext xmlns:x14="http://schemas.microsoft.com/office/spreadsheetml/2009/9/main" uri="{BBE1A952-AA13-448e-AADC-164F8A28A991}">
      <x14:slicerCaches>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Lap PKL.xlsx!Table2"/>
          <x15:modelTable id="Table7" name="Table7" connection="WorksheetConnection_Lap PKL.xlsx!Table7"/>
        </x15:modelTables>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D30" i="16" l="1"/>
  <c r="D29" i="16"/>
  <c r="D28" i="16"/>
  <c r="D27" i="16"/>
  <c r="D26" i="16"/>
  <c r="D25" i="16"/>
  <c r="C30" i="16"/>
  <c r="C29" i="16"/>
  <c r="C28" i="16"/>
  <c r="C27" i="16"/>
  <c r="C26" i="16"/>
  <c r="C25" i="16"/>
  <c r="N22" i="15"/>
  <c r="N21" i="15"/>
  <c r="N20" i="15"/>
  <c r="N19" i="15"/>
  <c r="N18" i="15"/>
  <c r="N17" i="15"/>
  <c r="G14" i="15"/>
  <c r="F14" i="15"/>
  <c r="E14" i="15"/>
  <c r="D14" i="15"/>
  <c r="C14" i="15"/>
  <c r="B14" i="15"/>
  <c r="L30" i="16"/>
  <c r="L29" i="16"/>
  <c r="L28" i="16"/>
  <c r="L27" i="16"/>
  <c r="L26" i="16"/>
  <c r="L25" i="16"/>
  <c r="F30" i="16"/>
  <c r="F29" i="16"/>
  <c r="F28" i="16"/>
  <c r="F27" i="16"/>
  <c r="F26" i="16"/>
  <c r="F25" i="16"/>
  <c r="E30" i="16"/>
  <c r="E29" i="16"/>
  <c r="E28" i="16"/>
  <c r="E27" i="16"/>
  <c r="E26" i="16"/>
  <c r="E25" i="16"/>
  <c r="C18" i="16"/>
  <c r="C17" i="16"/>
  <c r="C16" i="16"/>
  <c r="C15" i="16"/>
  <c r="C14" i="16"/>
  <c r="C13" i="16"/>
  <c r="R98" i="9" l="1"/>
  <c r="R97" i="9"/>
  <c r="R96" i="9"/>
  <c r="R95" i="9"/>
  <c r="R94" i="9"/>
  <c r="R93" i="9"/>
  <c r="R92" i="9"/>
  <c r="R91" i="9"/>
  <c r="R90" i="9"/>
  <c r="R89" i="9"/>
  <c r="R88" i="9"/>
  <c r="R87" i="9"/>
  <c r="R86" i="9"/>
  <c r="O61" i="9"/>
  <c r="R60" i="9" s="1"/>
  <c r="I31" i="9"/>
  <c r="L29" i="9" s="1"/>
  <c r="I24" i="9"/>
  <c r="K26" i="9" s="1"/>
  <c r="DS5" i="1"/>
  <c r="CT5" i="1"/>
  <c r="CT4" i="1"/>
  <c r="CT3" i="1"/>
  <c r="CT2" i="1"/>
  <c r="CF5" i="1"/>
  <c r="CF4" i="1"/>
  <c r="DM4" i="1" s="1"/>
  <c r="CF3" i="1"/>
  <c r="DM3" i="1" s="1"/>
  <c r="CF2" i="1"/>
  <c r="DM2" i="1" s="1"/>
  <c r="BR5" i="1"/>
  <c r="DL5" i="1" s="1"/>
  <c r="BR4" i="1"/>
  <c r="DL4" i="1" s="1"/>
  <c r="BR3" i="1"/>
  <c r="BR2" i="1"/>
  <c r="DI2" i="1" s="1"/>
  <c r="BD5" i="1"/>
  <c r="BD4" i="1"/>
  <c r="BD3" i="1"/>
  <c r="BD2" i="1"/>
  <c r="C125" i="9"/>
  <c r="C122" i="9"/>
  <c r="C123" i="9"/>
  <c r="C126" i="9"/>
  <c r="C124" i="9"/>
  <c r="E112" i="9"/>
  <c r="E111" i="9"/>
  <c r="R61" i="9" l="1"/>
  <c r="R64" i="9"/>
  <c r="R62" i="9"/>
  <c r="R65" i="9"/>
  <c r="R63" i="9"/>
  <c r="R66" i="9"/>
  <c r="R67" i="9"/>
  <c r="R68" i="9"/>
  <c r="R69" i="9"/>
  <c r="R70" i="9"/>
  <c r="R59" i="9"/>
  <c r="R71" i="9"/>
  <c r="L24" i="9"/>
  <c r="K27" i="9"/>
  <c r="K28" i="9"/>
  <c r="K29" i="9"/>
  <c r="L23" i="9"/>
  <c r="L25" i="9"/>
  <c r="L26" i="9"/>
  <c r="L27" i="9"/>
  <c r="K23" i="9"/>
  <c r="L28" i="9"/>
  <c r="K24" i="9"/>
  <c r="K25" i="9"/>
  <c r="DI5" i="1"/>
  <c r="DJ5" i="1" s="1"/>
  <c r="DI3" i="1"/>
  <c r="DK3" i="1" s="1"/>
  <c r="DI4" i="1"/>
  <c r="DK4" i="1" s="1"/>
  <c r="DM5" i="1"/>
  <c r="DK2" i="1"/>
  <c r="DL3" i="1"/>
  <c r="DL2" i="1"/>
  <c r="DJ2" i="1"/>
  <c r="M5" i="1"/>
  <c r="DK5" i="1" l="1"/>
  <c r="DJ3" i="1"/>
  <c r="DJ4" i="1"/>
  <c r="DN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BFF9FF-417C-487C-8240-6DFCD065888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3CA4872-F026-45A5-A9CC-DAC2D27879D9}" name="WorksheetConnection_Lap PKL.xlsx!Table2" type="102" refreshedVersion="8" minRefreshableVersion="5">
    <extLst>
      <ext xmlns:x15="http://schemas.microsoft.com/office/spreadsheetml/2010/11/main" uri="{DE250136-89BD-433C-8126-D09CA5730AF9}">
        <x15:connection id="Table2">
          <x15:rangePr sourceName="_xlcn.WorksheetConnection_LapPKL.xlsxTable21"/>
        </x15:connection>
      </ext>
    </extLst>
  </connection>
  <connection id="3" xr16:uid="{5484AF83-2420-45AF-8539-833C1EC8F7D0}" name="WorksheetConnection_Lap PKL.xlsx!Table7" type="102" refreshedVersion="8" minRefreshableVersion="5">
    <extLst>
      <ext xmlns:x15="http://schemas.microsoft.com/office/spreadsheetml/2010/11/main" uri="{DE250136-89BD-433C-8126-D09CA5730AF9}">
        <x15:connection id="Table7">
          <x15:rangePr sourceName="_xlcn.WorksheetConnection_LapPKL.xlsxTable71"/>
        </x15:connection>
      </ext>
    </extLst>
  </connection>
</connections>
</file>

<file path=xl/sharedStrings.xml><?xml version="1.0" encoding="utf-8"?>
<sst xmlns="http://schemas.openxmlformats.org/spreadsheetml/2006/main" count="443" uniqueCount="324">
  <si>
    <t>Luas Wilayah</t>
  </si>
  <si>
    <t>Tahun</t>
  </si>
  <si>
    <t>Desa</t>
  </si>
  <si>
    <t>Dusun</t>
  </si>
  <si>
    <t>RW</t>
  </si>
  <si>
    <t>RT</t>
  </si>
  <si>
    <t>Jumlah</t>
  </si>
  <si>
    <t>Lebakharjo</t>
  </si>
  <si>
    <t>Wirotaman</t>
  </si>
  <si>
    <t>Tamanasri</t>
  </si>
  <si>
    <t>Tirtomarto</t>
  </si>
  <si>
    <t>Purwoharjo</t>
  </si>
  <si>
    <t>Sidorenggo</t>
  </si>
  <si>
    <t>Tirtomoyo</t>
  </si>
  <si>
    <t>Argoyuwono</t>
  </si>
  <si>
    <t>Mulyoasri</t>
  </si>
  <si>
    <t>Tawangagung</t>
  </si>
  <si>
    <t>Simojayan</t>
  </si>
  <si>
    <t>Tamansari</t>
  </si>
  <si>
    <t>Sonowangi</t>
  </si>
  <si>
    <t>50.4</t>
  </si>
  <si>
    <t>Prestasi Bidang Olahraga</t>
  </si>
  <si>
    <t>Prestasi Bidang Pendidikan Jenjang TK</t>
  </si>
  <si>
    <t>Prestasi Bidang Pendidikan Jenjang SD/MI</t>
  </si>
  <si>
    <t>Prestasi Bidang Pendidikan Jenjang SMP/MTs</t>
  </si>
  <si>
    <t>Prestasi Bidang Pendidikan Jenjang SMA/SMK/MA</t>
  </si>
  <si>
    <t>Prestasi Bidang Pendidikan Jenjang Perguruan Tinggi</t>
  </si>
  <si>
    <t>Prestasi Bidang Kesenian</t>
  </si>
  <si>
    <t>Prestasi Bidang Kebersihan</t>
  </si>
  <si>
    <t>Obyek Wisata Alam</t>
  </si>
  <si>
    <t>Obyek Wisata Buatan</t>
  </si>
  <si>
    <t>Obyek Wisata Edukasi</t>
  </si>
  <si>
    <t>Obyek Wisata Budaya</t>
  </si>
  <si>
    <t>Obyek Wisata Sejarah</t>
  </si>
  <si>
    <t>Lapangan Sepak bola</t>
  </si>
  <si>
    <t>Lapangan Futsal</t>
  </si>
  <si>
    <t>Lapangan Voli</t>
  </si>
  <si>
    <t>Lapangan Basket</t>
  </si>
  <si>
    <t>Lapangan Bulutangkis</t>
  </si>
  <si>
    <t>Lapangan Tenis Lapangan</t>
  </si>
  <si>
    <t>Lapangan Lain-lain</t>
  </si>
  <si>
    <t>Jumlah Penduduk Agama Islam</t>
  </si>
  <si>
    <t>Tempat Peribadatan Agama Islam</t>
  </si>
  <si>
    <t>Jumlah Penduduk Agama Kristen Protestan</t>
  </si>
  <si>
    <t>Tempat Peribadatan Agama Kristen Protestan</t>
  </si>
  <si>
    <t>Jumlah Penduduk Agama Kristen Katolik</t>
  </si>
  <si>
    <t>Tempat Peribadatan Agama Kristen Katolik</t>
  </si>
  <si>
    <t>Jumlah Penduduk Agama Hindu</t>
  </si>
  <si>
    <t>Tempat Peribadatan Agama Hindu</t>
  </si>
  <si>
    <t>Jumlah Penduduk Agama Buddha</t>
  </si>
  <si>
    <t>Tempat Peribadatan Agama Buddha</t>
  </si>
  <si>
    <t>Jumlah Penduduk Agama Konghucu</t>
  </si>
  <si>
    <t>Tempat Peribadatan Agama Konghucu</t>
  </si>
  <si>
    <t>Jumlah Penduduk Menganut Kepercayaan kepada Tuhan YME</t>
  </si>
  <si>
    <t>Tempat Peribadatan untuk Kepercayaan kepada Tuhan YME</t>
  </si>
  <si>
    <t>Sum of Prestasi Bidang Olahraga</t>
  </si>
  <si>
    <t>Sum of Prestasi Bidang Pendidikan Jenjang TK</t>
  </si>
  <si>
    <t>Sum of Prestasi Bidang Pendidikan Jenjang SD/MI</t>
  </si>
  <si>
    <t>Sum of Prestasi Bidang Pendidikan Jenjang SMP/MTs</t>
  </si>
  <si>
    <t>Sum of Prestasi Bidang Pendidikan Jenjang SMA/SMK/MA</t>
  </si>
  <si>
    <t>Sum of Prestasi Bidang Pendidikan Jenjang Perguruan Tinggi</t>
  </si>
  <si>
    <t>Sum of Prestasi Bidang Kesenian</t>
  </si>
  <si>
    <t>Sum of Prestasi Bidang Kebersihan</t>
  </si>
  <si>
    <t>Prestasi Bidang Pendidikan</t>
  </si>
  <si>
    <t>Sum of Prestasi Bidang Pendidikan</t>
  </si>
  <si>
    <t>Sum of Jumlah Penduduk Agama Islam</t>
  </si>
  <si>
    <t>Sum of Jumlah Penduduk Agama Kristen Protestan</t>
  </si>
  <si>
    <t>Sum of Jumlah Penduduk Agama Kristen Katolik</t>
  </si>
  <si>
    <t>Sum of Jumlah Penduduk Agama Hindu</t>
  </si>
  <si>
    <t>Sum of Tempat Peribadatan Agama Islam</t>
  </si>
  <si>
    <t>Sum of Tempat Peribadatan Agama Kristen Protestan</t>
  </si>
  <si>
    <t>Sum of Jumlah Penduduk Agama Buddha</t>
  </si>
  <si>
    <t>Sum of Jumlah Penduduk Agama Konghucu</t>
  </si>
  <si>
    <t>Sum of Jumlah Penduduk Menganut Kepercayaan kepada Tuhan YME</t>
  </si>
  <si>
    <t>Sum of Tempat Peribadatan Agama Kristen Katolik</t>
  </si>
  <si>
    <t>Sum of Tempat Peribadatan Agama Hindu</t>
  </si>
  <si>
    <t>Sum of Tempat Peribadatan Agama Buddha</t>
  </si>
  <si>
    <t>Sum of Tempat Peribadatan Agama Konghucu</t>
  </si>
  <si>
    <t>Sum of Tempat Peribadatan untuk Kepercayaan kepada Tuhan YME</t>
  </si>
  <si>
    <t>Sum of Lapangan Sepak bola</t>
  </si>
  <si>
    <t>Sum of Lapangan Futsal</t>
  </si>
  <si>
    <t>Sum of Lapangan Voli</t>
  </si>
  <si>
    <t>Sum of Lapangan Basket</t>
  </si>
  <si>
    <t>Sum of Lapangan Bulutangkis</t>
  </si>
  <si>
    <t>Sum of Lapangan Tenis Lapangan</t>
  </si>
  <si>
    <t>Sum of Lapangan Lain-lain</t>
  </si>
  <si>
    <t>Sum of Obyek Wisata Alam</t>
  </si>
  <si>
    <t>Sum of Obyek Wisata Buatan</t>
  </si>
  <si>
    <t>Sum of Obyek Wisata Edukasi</t>
  </si>
  <si>
    <t>Sum of Obyek Wisata Budaya</t>
  </si>
  <si>
    <t>Sum of Desa</t>
  </si>
  <si>
    <t>Sum of Dusun</t>
  </si>
  <si>
    <t>Sum of RW</t>
  </si>
  <si>
    <t>Sum of RT</t>
  </si>
  <si>
    <t>Row Labels</t>
  </si>
  <si>
    <t>Grand Total</t>
  </si>
  <si>
    <t>Sum of Luas Wilayah</t>
  </si>
  <si>
    <t>Sum of Obyek Wisata Sejarah</t>
  </si>
  <si>
    <t>Lebakharjo2</t>
  </si>
  <si>
    <t>Wirotaman3</t>
  </si>
  <si>
    <t>Tamanasri4</t>
  </si>
  <si>
    <t>Tirtomarto5</t>
  </si>
  <si>
    <t>Purwoharjo6</t>
  </si>
  <si>
    <t>Sidorenggo7</t>
  </si>
  <si>
    <t>Tirtomoyo8</t>
  </si>
  <si>
    <t>Argoyuwono9</t>
  </si>
  <si>
    <t>Mulyoasri10</t>
  </si>
  <si>
    <t>Tawangagung11</t>
  </si>
  <si>
    <t>Simojayan12</t>
  </si>
  <si>
    <t>Tamansari13</t>
  </si>
  <si>
    <t>Sonowangi14</t>
  </si>
  <si>
    <t>Jumlah15</t>
  </si>
  <si>
    <t>Lebakharjo22</t>
  </si>
  <si>
    <t>Wirotaman33</t>
  </si>
  <si>
    <t>Tamanasri44</t>
  </si>
  <si>
    <t>Tirtomarto55</t>
  </si>
  <si>
    <t>Purwoharjo66</t>
  </si>
  <si>
    <t>Sidorenggo77</t>
  </si>
  <si>
    <t>Tirtomoyo88</t>
  </si>
  <si>
    <t>Argoyuwono99</t>
  </si>
  <si>
    <t>Mulyoasri1010</t>
  </si>
  <si>
    <t>Tawangagung1111</t>
  </si>
  <si>
    <t>Simojayan1212</t>
  </si>
  <si>
    <t>Tamansari1313</t>
  </si>
  <si>
    <t>Sonowangi1414</t>
  </si>
  <si>
    <t>Jumlah1515</t>
  </si>
  <si>
    <t>Lebakharjo222</t>
  </si>
  <si>
    <t>Wirotaman333</t>
  </si>
  <si>
    <t>Tamanasri444</t>
  </si>
  <si>
    <t>Tirtomarto555</t>
  </si>
  <si>
    <t>Purwoharjo666</t>
  </si>
  <si>
    <t>Sidorenggo777</t>
  </si>
  <si>
    <t>Tirtomoyo888</t>
  </si>
  <si>
    <t>Argoyuwono999</t>
  </si>
  <si>
    <t>Mulyoasri101010</t>
  </si>
  <si>
    <t>Tawangagung111111</t>
  </si>
  <si>
    <t>Simojayan121212</t>
  </si>
  <si>
    <t>Tamansari131313</t>
  </si>
  <si>
    <t>Sonowangi141414</t>
  </si>
  <si>
    <t>Jumlah151515</t>
  </si>
  <si>
    <t>Sum of Lebakharjo</t>
  </si>
  <si>
    <t>Sum of Wirotaman</t>
  </si>
  <si>
    <t>Sum of Tamanasri</t>
  </si>
  <si>
    <t>Sum of Tirtomarto</t>
  </si>
  <si>
    <t>Sum of Purwoharjo</t>
  </si>
  <si>
    <t>Sum of Sidorenggo</t>
  </si>
  <si>
    <t>Sum of Tirtomoyo</t>
  </si>
  <si>
    <t>Sum of Argoyuwono</t>
  </si>
  <si>
    <t>Sum of Mulyoasri</t>
  </si>
  <si>
    <t>Sum of Tawangagung</t>
  </si>
  <si>
    <t>Sum of Simojayan</t>
  </si>
  <si>
    <t>Sum of Tamansari</t>
  </si>
  <si>
    <t>Sum of Sonowangi</t>
  </si>
  <si>
    <t>Sum of Lebakharjo2</t>
  </si>
  <si>
    <t>Sum of Wirotaman3</t>
  </si>
  <si>
    <t>Sum of Tamanasri4</t>
  </si>
  <si>
    <t>Sum of Tirtomarto5</t>
  </si>
  <si>
    <t>Sum of Purwoharjo6</t>
  </si>
  <si>
    <t>Sum of Sidorenggo7</t>
  </si>
  <si>
    <t>Sum of Tirtomoyo8</t>
  </si>
  <si>
    <t>Sum of Argoyuwono9</t>
  </si>
  <si>
    <t>Sum of Mulyoasri10</t>
  </si>
  <si>
    <t>Sum of Tawangagung11</t>
  </si>
  <si>
    <t>Sum of Simojayan12</t>
  </si>
  <si>
    <t>Sum of Tamansari13</t>
  </si>
  <si>
    <t>Sum of Jumlah15</t>
  </si>
  <si>
    <t>Sum of Lebakharjo22</t>
  </si>
  <si>
    <t>Sum of Wirotaman33</t>
  </si>
  <si>
    <t>Sum of Tamanasri44</t>
  </si>
  <si>
    <t>Sum of Tirtomarto55</t>
  </si>
  <si>
    <t>Sum of Purwoharjo66</t>
  </si>
  <si>
    <t>Sum of Sidorenggo77</t>
  </si>
  <si>
    <t>Sum of Tirtomoyo88</t>
  </si>
  <si>
    <t>Sum of Argoyuwono99</t>
  </si>
  <si>
    <t>Sum of Mulyoasri1010</t>
  </si>
  <si>
    <t>Sum of Tawangagung1111</t>
  </si>
  <si>
    <t>Sum of Simojayan1212</t>
  </si>
  <si>
    <t>Sum of Tamansari1313</t>
  </si>
  <si>
    <t>Sum of Sonowangi1414</t>
  </si>
  <si>
    <t>Sum of Jumlah1515</t>
  </si>
  <si>
    <t>Sum of Lebakharjo222</t>
  </si>
  <si>
    <t>Sum of Wirotaman333</t>
  </si>
  <si>
    <t>Sum of Tamanasri444</t>
  </si>
  <si>
    <t>Sum of Tirtomarto555</t>
  </si>
  <si>
    <t>Sum of Purwoharjo666</t>
  </si>
  <si>
    <t>Sum of Sidorenggo777</t>
  </si>
  <si>
    <t>Sum of Tirtomoyo888</t>
  </si>
  <si>
    <t>Sum of Argoyuwono999</t>
  </si>
  <si>
    <t>Sum of Mulyoasri101010</t>
  </si>
  <si>
    <t>Sum of Tawangagung111111</t>
  </si>
  <si>
    <t>Sum of Simojayan121212</t>
  </si>
  <si>
    <t>Sum of Tamansari131313</t>
  </si>
  <si>
    <t>Sum of Sonowangi141414</t>
  </si>
  <si>
    <t>Sum of Jumlah151515</t>
  </si>
  <si>
    <t>Lebakharjo2222</t>
  </si>
  <si>
    <t>Wirotaman3333</t>
  </si>
  <si>
    <t>Tamanasri4444</t>
  </si>
  <si>
    <t>Tirtomarto5555</t>
  </si>
  <si>
    <t>Purwoharjo6666</t>
  </si>
  <si>
    <t>Sidorenggo7777</t>
  </si>
  <si>
    <t>Tirtomoyo8888</t>
  </si>
  <si>
    <t>Argoyuwono9999</t>
  </si>
  <si>
    <t>Mulyoasri10101010</t>
  </si>
  <si>
    <t>Tawangagung11111111</t>
  </si>
  <si>
    <t>Simojayan12121212</t>
  </si>
  <si>
    <t>Tamansari13131313</t>
  </si>
  <si>
    <t>Sonowangi14141414</t>
  </si>
  <si>
    <t>Jumlah15151515</t>
  </si>
  <si>
    <t>Sum of Lebakharjo2222</t>
  </si>
  <si>
    <t>Sum of Wirotaman3333</t>
  </si>
  <si>
    <t>Sum of Tamanasri4444</t>
  </si>
  <si>
    <t>Sum of Tirtomarto5555</t>
  </si>
  <si>
    <t>Sum of Purwoharjo6666</t>
  </si>
  <si>
    <t>Sum of Sidorenggo7777</t>
  </si>
  <si>
    <t>Sum of Tirtomoyo8888</t>
  </si>
  <si>
    <t>Sum of Argoyuwono9999</t>
  </si>
  <si>
    <t>Sum of Mulyoasri10101010</t>
  </si>
  <si>
    <t>Sum of Tawangagung11111111</t>
  </si>
  <si>
    <t>Sum of Simojayan12121212</t>
  </si>
  <si>
    <t>Sum of Tamansari13131313</t>
  </si>
  <si>
    <t>Sum of Sonowangi14141414</t>
  </si>
  <si>
    <t>Sum of Jumlah15151515</t>
  </si>
  <si>
    <t>Count of Sonowangi14</t>
  </si>
  <si>
    <t>LAHAN PRODUKTIF</t>
  </si>
  <si>
    <t>LAHAN TIDAK PRODUKTIF</t>
  </si>
  <si>
    <t>Jumlah Lahan</t>
  </si>
  <si>
    <t>Lahan Produktif</t>
  </si>
  <si>
    <t>Lahan Tidak Produktif</t>
  </si>
  <si>
    <t>Jumlah Lahan Produktif</t>
  </si>
  <si>
    <t>Jumlah Lahan tidak Produktif</t>
  </si>
  <si>
    <t>Usia 0-11</t>
  </si>
  <si>
    <t>Usia 12-25</t>
  </si>
  <si>
    <t>Usia 26-45</t>
  </si>
  <si>
    <t>Usia 46-65</t>
  </si>
  <si>
    <t>Diatas 65</t>
  </si>
  <si>
    <t>Total</t>
  </si>
  <si>
    <t>Sum of Usia 0-11</t>
  </si>
  <si>
    <t>Sum of Usia 12-25</t>
  </si>
  <si>
    <t>Sum of Usia 26-45</t>
  </si>
  <si>
    <t>Sum of Usia 46-65</t>
  </si>
  <si>
    <t>Sum of Diatas 65</t>
  </si>
  <si>
    <t>Sum of Total</t>
  </si>
  <si>
    <t>Sum of Jumlah Lahan</t>
  </si>
  <si>
    <t>Sum of Lahan Produktif</t>
  </si>
  <si>
    <t>Sum of Lahan Tidak Produktif</t>
  </si>
  <si>
    <t>Sum of Jumlah Lahan Produktif</t>
  </si>
  <si>
    <t>Sum of Jumlah Lahan tidak Produktif</t>
  </si>
  <si>
    <t>Column Labels</t>
  </si>
  <si>
    <t>Values</t>
  </si>
  <si>
    <t>Usia</t>
  </si>
  <si>
    <t>0-11 tahun</t>
  </si>
  <si>
    <t>12-25 tahun</t>
  </si>
  <si>
    <t>26-45 tahun</t>
  </si>
  <si>
    <t>46-65 tahun</t>
  </si>
  <si>
    <t>&gt; 65 tahun</t>
  </si>
  <si>
    <t>Grafik Persen</t>
  </si>
  <si>
    <t>Islam</t>
  </si>
  <si>
    <t>Kristen Protestan</t>
  </si>
  <si>
    <t>Kristen Katolik</t>
  </si>
  <si>
    <t>Hindu</t>
  </si>
  <si>
    <t>Buddha</t>
  </si>
  <si>
    <t>Konghucu</t>
  </si>
  <si>
    <t>Kepercayaan kepada Tuhan YME</t>
  </si>
  <si>
    <t>AGAMA</t>
  </si>
  <si>
    <t>Jumlah Penduduk</t>
  </si>
  <si>
    <t>Jumlah Tempat Peribadatan</t>
  </si>
  <si>
    <t>Banyak Sumber Air</t>
  </si>
  <si>
    <t>Jumlah Pembinaan ke Masyarakat</t>
  </si>
  <si>
    <t>SUMBER AIR</t>
  </si>
  <si>
    <t>PEMBINAAN KE MASYARAKAT</t>
  </si>
  <si>
    <t>PENDUDUK MENINGGAL PER DESA</t>
  </si>
  <si>
    <t>PENDUDUK MENINGGAL SELURUH DESA</t>
  </si>
  <si>
    <t>Jenis Layanan</t>
  </si>
  <si>
    <t>Surat Permohonan Kartu Tanda Penduduk ( KTP )</t>
  </si>
  <si>
    <t>Surat Permohonan Kartu Keluarga ( KK )</t>
  </si>
  <si>
    <t>Terselesaikannya Surat Ijin Mendirikan Bangunan (IMB)</t>
  </si>
  <si>
    <t>Terselesaikannya Surat Ijin Keramaian</t>
  </si>
  <si>
    <t>Terselesaikannya Surat Ijin penerbitan izin sekolah swasta</t>
  </si>
  <si>
    <t>Terselesaikannya Surat rekomendasi Ijin usaha peternakan di bawah 5000 ekor</t>
  </si>
  <si>
    <t>Terselesaikannya Surat rekomendasi Ijin lokasi terhadap calon lokasi tempat pembuangan akhir sampah</t>
  </si>
  <si>
    <t>Terselesaikannya Surat rekomendasi Ijin lokasi kegiatan pengembangan pertanian, peternakan dan perikanan</t>
  </si>
  <si>
    <t>Terselesaikannya Surat rekomendasi Ijin pemanfaatan lahan berdasarkan tata ruang wilayah dan tata guna lahan</t>
  </si>
  <si>
    <t>Terselesaikannya Surat rekomendasi Ijin usaha mikro dan kecil</t>
  </si>
  <si>
    <t>Terselesaikannya Surat rekomendasi Ijin pemotongan hewan untuk hari tertentu</t>
  </si>
  <si>
    <t>Terselesaikannya Surat rekomendasi Ijin perkemahan</t>
  </si>
  <si>
    <t>Sum of Surat Permohonan Kartu Tanda Penduduk ( KTP )</t>
  </si>
  <si>
    <t>Sum of Surat Permohonan Kartu Keluarga ( KK )</t>
  </si>
  <si>
    <t>Sum of Terselesaikannya Surat Ijin Mendirikan Bangunan (IMB)</t>
  </si>
  <si>
    <t>Sum of Terselesaikannya Surat Ijin Keramaian</t>
  </si>
  <si>
    <t>Sum of Terselesaikannya Surat Ijin penerbitan izin sekolah swasta</t>
  </si>
  <si>
    <t>Sum of Terselesaikannya Surat rekomendasi Ijin usaha peternakan di bawah 5000 ekor</t>
  </si>
  <si>
    <t>Sum of Terselesaikannya Surat rekomendasi Ijin lokasi terhadap calon lokasi tempat pembuangan akhir sampah</t>
  </si>
  <si>
    <t>Sum of Terselesaikannya Surat rekomendasi Ijin lokasi kegiatan pengembangan pertanian, peternakan dan perikanan</t>
  </si>
  <si>
    <t>Sum of Terselesaikannya Surat rekomendasi Ijin pemanfaatan lahan berdasarkan tata ruang wilayah dan tata guna lahan</t>
  </si>
  <si>
    <t>Sum of Terselesaikannya Surat rekomendasi Ijin usaha mikro dan kecil</t>
  </si>
  <si>
    <t>Sum of Terselesaikannya Surat rekomendasi Ijin pemotongan hewan untuk hari tertentu</t>
  </si>
  <si>
    <t>Sum of Terselesaikannya Surat rekomendasi Ijin perkemahan</t>
  </si>
  <si>
    <t>Sum of Jumlah</t>
  </si>
  <si>
    <t>Total Sum of Surat Permohonan Kartu Tanda Penduduk ( KTP )</t>
  </si>
  <si>
    <t>Total Sum of Surat Permohonan Kartu Keluarga ( KK )</t>
  </si>
  <si>
    <t>Total Sum of Terselesaikannya Surat Ijin Mendirikan Bangunan (IMB)</t>
  </si>
  <si>
    <t>Total Sum of Terselesaikannya Surat Ijin Keramaian</t>
  </si>
  <si>
    <t>Total Sum of Terselesaikannya Surat Ijin penerbitan izin sekolah swasta</t>
  </si>
  <si>
    <t>Total Sum of Terselesaikannya Surat rekomendasi Ijin usaha peternakan di bawah 5000 ekor</t>
  </si>
  <si>
    <t>Total Sum of Terselesaikannya Surat rekomendasi Ijin lokasi terhadap calon lokasi tempat pembuangan akhir sampah</t>
  </si>
  <si>
    <t>Total Sum of Terselesaikannya Surat rekomendasi Ijin lokasi kegiatan pengembangan pertanian, peternakan dan perikanan</t>
  </si>
  <si>
    <t>Total Sum of Terselesaikannya Surat rekomendasi Ijin pemanfaatan lahan berdasarkan tata ruang wilayah dan tata guna lahan</t>
  </si>
  <si>
    <t>Total Sum of Terselesaikannya Surat rekomendasi Ijin usaha mikro dan kecil</t>
  </si>
  <si>
    <t>Total Sum of Terselesaikannya Surat rekomendasi Ijin pemotongan hewan untuk hari tertentu</t>
  </si>
  <si>
    <t>Total Sum of Terselesaikannya Surat rekomendasi Ijin perkemahan</t>
  </si>
  <si>
    <t>Total Sum of Jumlah</t>
  </si>
  <si>
    <t>Persentase</t>
  </si>
  <si>
    <t>Surat Permohonan KTP</t>
  </si>
  <si>
    <t>Surat Permohonan KK</t>
  </si>
  <si>
    <t>Surat IMB</t>
  </si>
  <si>
    <t>Surat Ijin Keramaian</t>
  </si>
  <si>
    <t>Surat Ijin Penerbitan Sekolah Swasta</t>
  </si>
  <si>
    <t>Surat Ijin Usaha Peternakan &lt;5000ekor</t>
  </si>
  <si>
    <t>Surat Rekomendasi Ijin Lokasi Pembuangan Akhir Sampah</t>
  </si>
  <si>
    <t>Surat Rekomendasi Ijin Lokasi Pertanian, Peternakan, Perikanan</t>
  </si>
  <si>
    <t>Surat Rekomendasi Ijin Pemanfaatan Lahan</t>
  </si>
  <si>
    <t>Surat Ijin usaha mikro</t>
  </si>
  <si>
    <t>Surat ijin pemotongan hewan</t>
  </si>
  <si>
    <t>Surat rekomendasi ijin perkemahan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</si>
</sst>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9" x14ac:knownFonts="1">
    <font>
      <sz val="11"/>
      <color theme="1"/>
      <name val="Calibri"/>
      <family val="2"/>
      <scheme val="minor"/>
    </font>
    <font>
      <sz val="10"/>
      <color theme="1"/>
      <name val="Times New Roman"/>
      <family val="1"/>
    </font>
    <font>
      <b/>
      <sz val="10"/>
      <color theme="1"/>
      <name val="Times New Roman"/>
      <family val="1"/>
    </font>
    <font>
      <sz val="8"/>
      <color rgb="FF000000"/>
      <name val="Tahoma"/>
      <family val="2"/>
    </font>
    <font>
      <b/>
      <sz val="11"/>
      <color theme="1"/>
      <name val="Calibri"/>
      <family val="2"/>
      <scheme val="minor"/>
    </font>
    <font>
      <sz val="8"/>
      <name val="Calibri"/>
      <family val="2"/>
      <scheme val="minor"/>
    </font>
    <font>
      <b/>
      <sz val="8"/>
      <color theme="1"/>
      <name val="Tahoma"/>
      <family val="2"/>
    </font>
    <font>
      <sz val="8"/>
      <color theme="1"/>
      <name val="Tahoma"/>
      <family val="2"/>
    </font>
    <font>
      <b/>
      <sz val="8"/>
      <color rgb="FF000000"/>
      <name val="Tahoma"/>
      <family val="2"/>
    </font>
  </fonts>
  <fills count="4">
    <fill>
      <patternFill patternType="none"/>
    </fill>
    <fill>
      <patternFill patternType="gray125"/>
    </fill>
    <fill>
      <patternFill patternType="solid">
        <fgColor rgb="FF0E0F2E"/>
        <bgColor indexed="64"/>
      </patternFill>
    </fill>
    <fill>
      <patternFill patternType="solid">
        <fgColor theme="2" tint="-9.9978637043366805E-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auto="1"/>
      </top>
      <bottom style="thin">
        <color auto="1"/>
      </bottom>
      <diagonal/>
    </border>
    <border>
      <left/>
      <right/>
      <top/>
      <bottom style="thin">
        <color auto="1"/>
      </bottom>
      <diagonal/>
    </border>
    <border>
      <left/>
      <right/>
      <top style="thin">
        <color auto="1"/>
      </top>
      <bottom/>
      <diagonal/>
    </border>
    <border>
      <left style="thin">
        <color indexed="64"/>
      </left>
      <right style="thin">
        <color indexed="64"/>
      </right>
      <top style="thin">
        <color auto="1"/>
      </top>
      <bottom/>
      <diagonal/>
    </border>
    <border>
      <left/>
      <right style="thin">
        <color indexed="64"/>
      </right>
      <top/>
      <bottom style="thin">
        <color auto="1"/>
      </bottom>
      <diagonal/>
    </border>
    <border>
      <left/>
      <right style="thin">
        <color indexed="64"/>
      </right>
      <top style="thin">
        <color auto="1"/>
      </top>
      <bottom/>
      <diagonal/>
    </border>
  </borders>
  <cellStyleXfs count="1">
    <xf numFmtId="0" fontId="0" fillId="0" borderId="0"/>
  </cellStyleXfs>
  <cellXfs count="76">
    <xf numFmtId="0" fontId="0" fillId="0" borderId="0" xfId="0"/>
    <xf numFmtId="0" fontId="0" fillId="0" borderId="0" xfId="0" applyNumberFormat="1"/>
    <xf numFmtId="0" fontId="0" fillId="0" borderId="0" xfId="0" pivotButton="1"/>
    <xf numFmtId="0" fontId="0" fillId="0" borderId="0" xfId="0" applyAlignment="1">
      <alignment horizontal="left"/>
    </xf>
    <xf numFmtId="0" fontId="0" fillId="2" borderId="0" xfId="0" applyFill="1"/>
    <xf numFmtId="0" fontId="4" fillId="0" borderId="0" xfId="0" applyFont="1"/>
    <xf numFmtId="0" fontId="0" fillId="0" borderId="1" xfId="0" applyBorder="1"/>
    <xf numFmtId="0" fontId="3" fillId="0" borderId="1" xfId="0" applyFont="1" applyBorder="1" applyAlignment="1">
      <alignment horizontal="center" vertical="center"/>
    </xf>
    <xf numFmtId="9" fontId="0" fillId="0" borderId="1" xfId="0" applyNumberFormat="1" applyBorder="1"/>
    <xf numFmtId="0" fontId="0" fillId="0" borderId="1" xfId="0" applyBorder="1" applyAlignment="1"/>
    <xf numFmtId="9" fontId="0" fillId="0" borderId="1" xfId="0" applyNumberFormat="1" applyBorder="1" applyAlignment="1"/>
    <xf numFmtId="17" fontId="0" fillId="0" borderId="1" xfId="0" applyNumberFormat="1" applyBorder="1"/>
    <xf numFmtId="0" fontId="1" fillId="0" borderId="0" xfId="0" applyFont="1" applyFill="1" applyBorder="1"/>
    <xf numFmtId="0" fontId="2" fillId="0" borderId="8" xfId="0" applyFont="1" applyFill="1" applyBorder="1" applyAlignment="1">
      <alignment horizontal="center" vertical="center"/>
    </xf>
    <xf numFmtId="0" fontId="2" fillId="0" borderId="8" xfId="0" applyFont="1" applyFill="1" applyBorder="1" applyAlignment="1">
      <alignment horizontal="center" vertical="center" wrapText="1"/>
    </xf>
    <xf numFmtId="0" fontId="2" fillId="0" borderId="11" xfId="0" applyFont="1" applyFill="1" applyBorder="1" applyAlignment="1">
      <alignment horizontal="center" vertical="center"/>
    </xf>
    <xf numFmtId="0" fontId="2" fillId="0" borderId="4" xfId="0" applyFont="1" applyFill="1" applyBorder="1" applyAlignment="1">
      <alignment horizontal="center" vertical="center"/>
    </xf>
    <xf numFmtId="0" fontId="2" fillId="0" borderId="6" xfId="0" applyFont="1" applyFill="1" applyBorder="1" applyAlignment="1">
      <alignment horizontal="center" vertical="center"/>
    </xf>
    <xf numFmtId="0" fontId="1" fillId="0" borderId="3" xfId="0" applyFont="1" applyFill="1" applyBorder="1" applyAlignment="1">
      <alignment horizontal="center" vertical="center"/>
    </xf>
    <xf numFmtId="4" fontId="1" fillId="0" borderId="3" xfId="0" applyNumberFormat="1" applyFont="1" applyFill="1" applyBorder="1" applyAlignment="1">
      <alignment horizontal="center" vertical="center" wrapText="1"/>
    </xf>
    <xf numFmtId="0" fontId="1" fillId="0" borderId="7" xfId="0" applyFont="1" applyFill="1" applyBorder="1" applyAlignment="1">
      <alignment horizontal="center" vertical="center"/>
    </xf>
    <xf numFmtId="0" fontId="1" fillId="0" borderId="1" xfId="0" applyFont="1" applyFill="1" applyBorder="1" applyAlignment="1">
      <alignment horizontal="center" vertical="center"/>
    </xf>
    <xf numFmtId="0" fontId="1" fillId="0" borderId="2" xfId="0" applyFont="1" applyFill="1" applyBorder="1" applyAlignment="1">
      <alignment horizontal="center" vertical="center"/>
    </xf>
    <xf numFmtId="3" fontId="1" fillId="0" borderId="7" xfId="0" applyNumberFormat="1" applyFont="1" applyFill="1" applyBorder="1" applyAlignment="1">
      <alignment horizontal="center"/>
    </xf>
    <xf numFmtId="3" fontId="1" fillId="0" borderId="1" xfId="0" applyNumberFormat="1" applyFont="1" applyFill="1" applyBorder="1" applyAlignment="1">
      <alignment horizontal="center"/>
    </xf>
    <xf numFmtId="3" fontId="1" fillId="0" borderId="1" xfId="0" applyNumberFormat="1" applyFont="1" applyFill="1" applyBorder="1" applyAlignment="1">
      <alignment horizontal="center" vertical="center"/>
    </xf>
    <xf numFmtId="0" fontId="1" fillId="0" borderId="7" xfId="0" applyFont="1" applyFill="1" applyBorder="1" applyAlignment="1">
      <alignment horizontal="center"/>
    </xf>
    <xf numFmtId="0" fontId="1" fillId="0" borderId="1" xfId="0" applyFont="1" applyFill="1" applyBorder="1" applyAlignment="1">
      <alignment horizontal="center"/>
    </xf>
    <xf numFmtId="1" fontId="1" fillId="0" borderId="4" xfId="0" applyNumberFormat="1" applyFont="1" applyFill="1" applyBorder="1" applyAlignment="1">
      <alignment horizontal="center" vertical="center"/>
    </xf>
    <xf numFmtId="2" fontId="1" fillId="0" borderId="4" xfId="0" applyNumberFormat="1" applyFont="1" applyFill="1" applyBorder="1" applyAlignment="1">
      <alignment horizontal="center" vertical="center"/>
    </xf>
    <xf numFmtId="164" fontId="1" fillId="0" borderId="4" xfId="0" applyNumberFormat="1" applyFont="1" applyFill="1" applyBorder="1" applyAlignment="1">
      <alignment horizontal="center" vertical="center"/>
    </xf>
    <xf numFmtId="0" fontId="1" fillId="0" borderId="4" xfId="0" applyFont="1" applyFill="1" applyBorder="1" applyAlignment="1">
      <alignment horizontal="center" vertical="center"/>
    </xf>
    <xf numFmtId="9" fontId="1" fillId="0" borderId="4" xfId="0" applyNumberFormat="1" applyFont="1" applyFill="1" applyBorder="1" applyAlignment="1">
      <alignment horizontal="center" vertical="center"/>
    </xf>
    <xf numFmtId="2"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3" fontId="1" fillId="0" borderId="7" xfId="0" applyNumberFormat="1" applyFont="1" applyFill="1" applyBorder="1" applyAlignment="1">
      <alignment horizontal="center" vertical="center"/>
    </xf>
    <xf numFmtId="1" fontId="1" fillId="0" borderId="1" xfId="0" applyNumberFormat="1" applyFont="1" applyFill="1" applyBorder="1" applyAlignment="1">
      <alignment horizontal="center" vertical="center"/>
    </xf>
    <xf numFmtId="2" fontId="1" fillId="0" borderId="1" xfId="0" applyNumberFormat="1" applyFont="1" applyFill="1" applyBorder="1" applyAlignment="1">
      <alignment horizontal="center" vertical="center"/>
    </xf>
    <xf numFmtId="164" fontId="1" fillId="0" borderId="1" xfId="0" applyNumberFormat="1" applyFont="1" applyFill="1" applyBorder="1" applyAlignment="1">
      <alignment horizontal="center" vertical="center"/>
    </xf>
    <xf numFmtId="9" fontId="1" fillId="0" borderId="1" xfId="0" applyNumberFormat="1" applyFont="1" applyFill="1" applyBorder="1" applyAlignment="1">
      <alignment horizontal="center" vertical="center"/>
    </xf>
    <xf numFmtId="1" fontId="1" fillId="0" borderId="0" xfId="0" applyNumberFormat="1" applyFont="1" applyFill="1" applyBorder="1"/>
    <xf numFmtId="1" fontId="1" fillId="0" borderId="0" xfId="0" applyNumberFormat="1" applyFont="1" applyFill="1" applyBorder="1" applyAlignment="1">
      <alignment horizontal="center" vertical="center"/>
    </xf>
    <xf numFmtId="0" fontId="1" fillId="0" borderId="9" xfId="0" applyFont="1" applyFill="1" applyBorder="1" applyAlignment="1">
      <alignment horizontal="center" vertical="center"/>
    </xf>
    <xf numFmtId="4" fontId="1" fillId="0" borderId="9" xfId="0" applyNumberFormat="1" applyFont="1" applyFill="1" applyBorder="1" applyAlignment="1">
      <alignment horizontal="center" vertical="center" wrapText="1"/>
    </xf>
    <xf numFmtId="0" fontId="1" fillId="0" borderId="12" xfId="0" applyFont="1" applyFill="1" applyBorder="1" applyAlignment="1">
      <alignment horizontal="center" vertical="center"/>
    </xf>
    <xf numFmtId="0" fontId="1" fillId="0" borderId="10" xfId="0" applyFont="1" applyFill="1" applyBorder="1" applyAlignment="1">
      <alignment horizontal="center" vertical="center"/>
    </xf>
    <xf numFmtId="0" fontId="1" fillId="0" borderId="5" xfId="0" applyFont="1" applyFill="1" applyBorder="1" applyAlignment="1">
      <alignment horizontal="center" vertical="center"/>
    </xf>
    <xf numFmtId="3" fontId="1" fillId="0" borderId="12" xfId="0" applyNumberFormat="1" applyFont="1" applyFill="1" applyBorder="1" applyAlignment="1">
      <alignment horizontal="center" vertical="center"/>
    </xf>
    <xf numFmtId="3" fontId="1" fillId="0" borderId="10" xfId="0" applyNumberFormat="1" applyFont="1" applyFill="1" applyBorder="1" applyAlignment="1">
      <alignment horizontal="center" vertical="center"/>
    </xf>
    <xf numFmtId="0" fontId="1" fillId="0" borderId="10" xfId="0" applyFont="1" applyFill="1" applyBorder="1" applyAlignment="1">
      <alignment horizontal="center"/>
    </xf>
    <xf numFmtId="0" fontId="1" fillId="0" borderId="5" xfId="0" applyFont="1" applyFill="1" applyBorder="1" applyAlignment="1">
      <alignment horizontal="center"/>
    </xf>
    <xf numFmtId="0" fontId="1" fillId="0" borderId="12" xfId="0" applyFont="1" applyFill="1" applyBorder="1" applyAlignment="1">
      <alignment horizontal="center"/>
    </xf>
    <xf numFmtId="2" fontId="1" fillId="0" borderId="10" xfId="0" applyNumberFormat="1" applyFont="1" applyFill="1" applyBorder="1" applyAlignment="1">
      <alignment horizontal="center" vertical="center"/>
    </xf>
    <xf numFmtId="164" fontId="1" fillId="0" borderId="10" xfId="0" applyNumberFormat="1" applyFont="1" applyFill="1" applyBorder="1" applyAlignment="1">
      <alignment horizontal="center" vertical="center"/>
    </xf>
    <xf numFmtId="1" fontId="1" fillId="0" borderId="10" xfId="0" applyNumberFormat="1" applyFont="1" applyFill="1" applyBorder="1" applyAlignment="1">
      <alignment horizontal="center" vertical="center"/>
    </xf>
    <xf numFmtId="9" fontId="1" fillId="0" borderId="10" xfId="0" applyNumberFormat="1" applyFont="1" applyFill="1" applyBorder="1" applyAlignment="1">
      <alignment horizontal="center" vertical="center"/>
    </xf>
    <xf numFmtId="0" fontId="1" fillId="0" borderId="0" xfId="0" applyFont="1" applyFill="1" applyBorder="1" applyAlignment="1">
      <alignment wrapText="1"/>
    </xf>
    <xf numFmtId="0" fontId="4" fillId="0" borderId="0" xfId="0" applyFont="1" applyAlignment="1">
      <alignment horizontal="left"/>
    </xf>
    <xf numFmtId="3" fontId="3" fillId="0" borderId="0" xfId="0" applyNumberFormat="1" applyFont="1" applyAlignment="1">
      <alignment horizontal="center" vertical="center" wrapText="1"/>
    </xf>
    <xf numFmtId="0" fontId="3" fillId="0" borderId="0" xfId="0" applyFont="1" applyAlignment="1">
      <alignment horizontal="center" vertical="center" wrapText="1"/>
    </xf>
    <xf numFmtId="0" fontId="7" fillId="0" borderId="0" xfId="0" applyFont="1" applyAlignment="1">
      <alignment horizontal="center" vertical="center" wrapText="1"/>
    </xf>
    <xf numFmtId="0" fontId="7" fillId="0" borderId="0" xfId="0" applyFont="1" applyAlignment="1">
      <alignment vertical="center" wrapText="1"/>
    </xf>
    <xf numFmtId="0" fontId="7" fillId="0" borderId="0" xfId="0" applyFont="1" applyAlignment="1">
      <alignment horizontal="left" vertical="center" wrapText="1"/>
    </xf>
    <xf numFmtId="3" fontId="8" fillId="0" borderId="3"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6" fillId="3" borderId="3" xfId="0" applyFont="1" applyFill="1" applyBorder="1" applyAlignment="1">
      <alignment horizontal="center" vertical="center" wrapText="1"/>
    </xf>
    <xf numFmtId="0" fontId="6" fillId="0" borderId="3" xfId="0" applyFont="1" applyBorder="1" applyAlignment="1">
      <alignment horizontal="center" vertical="center" wrapText="1"/>
    </xf>
    <xf numFmtId="0" fontId="6" fillId="3" borderId="1" xfId="0" applyFont="1" applyFill="1" applyBorder="1" applyAlignment="1">
      <alignment horizontal="center" vertical="center"/>
    </xf>
    <xf numFmtId="0" fontId="7" fillId="0" borderId="1" xfId="0" applyFont="1" applyBorder="1" applyAlignment="1">
      <alignment vertical="center"/>
    </xf>
    <xf numFmtId="0" fontId="7" fillId="0" borderId="1" xfId="0" applyFont="1" applyBorder="1" applyAlignment="1">
      <alignment horizontal="left" vertical="center"/>
    </xf>
    <xf numFmtId="0" fontId="6" fillId="0" borderId="1" xfId="0" applyFont="1" applyBorder="1" applyAlignment="1">
      <alignment horizontal="center" vertical="center"/>
    </xf>
    <xf numFmtId="3" fontId="3" fillId="0" borderId="1" xfId="0" applyNumberFormat="1" applyFont="1" applyBorder="1" applyAlignment="1">
      <alignment horizontal="center" vertical="center"/>
    </xf>
    <xf numFmtId="3" fontId="8" fillId="0" borderId="1" xfId="0" applyNumberFormat="1"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9" fontId="0" fillId="0" borderId="0" xfId="0" applyNumberFormat="1"/>
  </cellXfs>
  <cellStyles count="1">
    <cellStyle name="Normal" xfId="0" builtinId="0"/>
  </cellStyles>
  <dxfs count="156">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1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bottom" textRotation="0" wrapText="0" indent="0" justifyLastLine="0" shrinkToFit="0" readingOrder="0"/>
      <border diagonalUp="0" diagonalDown="0" outline="0">
        <left/>
        <right style="thin">
          <color indexed="64"/>
        </right>
        <top style="thin">
          <color auto="1"/>
        </top>
        <bottom style="thin">
          <color auto="1"/>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auto="1"/>
        </top>
        <bottom style="thin">
          <color auto="1"/>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auto="1"/>
        </top>
        <bottom style="thin">
          <color auto="1"/>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auto="1"/>
        </top>
        <bottom style="thin">
          <color auto="1"/>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border outline="0">
        <bottom style="thin">
          <color auto="1"/>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Times New Roman"/>
        <family val="1"/>
        <scheme val="none"/>
      </font>
      <numFmt numFmtId="4" formatCode="#,##0.00"/>
      <fill>
        <patternFill patternType="none">
          <fgColor indexed="64"/>
          <bgColor auto="1"/>
        </patternFill>
      </fill>
      <alignment horizontal="center" vertical="center" textRotation="0" wrapText="1" indent="0" justifyLastLine="0" shrinkToFit="0" readingOrder="0"/>
      <border diagonalUp="0" diagonalDown="0" outline="0">
        <left/>
        <right/>
        <top style="thin">
          <color auto="1"/>
        </top>
        <bottom style="thin">
          <color auto="1"/>
        </bottom>
      </border>
    </dxf>
    <dxf>
      <border outline="0">
        <top style="thin">
          <color auto="1"/>
        </top>
      </border>
    </dxf>
    <dxf>
      <border outline="0">
        <left style="thin">
          <color indexed="64"/>
        </left>
        <right style="thin">
          <color indexed="64"/>
        </right>
        <top style="thin">
          <color auto="1"/>
        </top>
        <bottom style="thin">
          <color auto="1"/>
        </bottom>
      </border>
    </dxf>
    <dxf>
      <font>
        <b val="0"/>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1" indent="0" justifyLastLine="0" shrinkToFit="0" readingOrder="0"/>
    </dxf>
    <dxf>
      <border outline="0">
        <bottom style="thin">
          <color auto="1"/>
        </bottom>
      </border>
    </dxf>
    <dxf>
      <font>
        <b/>
        <i val="0"/>
        <strike val="0"/>
        <condense val="0"/>
        <extend val="0"/>
        <outline val="0"/>
        <shadow val="0"/>
        <u val="none"/>
        <vertAlign val="baseline"/>
        <sz val="10"/>
        <color theme="1"/>
        <name val="Times New Roman"/>
        <family val="1"/>
        <scheme val="none"/>
      </font>
      <fill>
        <patternFill patternType="none">
          <fgColor indexed="64"/>
          <bgColor auto="1"/>
        </patternFill>
      </fill>
      <alignment horizontal="center" vertical="center" textRotation="0" wrapText="1" indent="0" justifyLastLine="0" shrinkToFit="0" readingOrder="0"/>
    </dxf>
    <dxf>
      <font>
        <sz val="8"/>
        <color theme="0"/>
      </font>
      <border>
        <bottom style="thin">
          <color theme="4"/>
        </bottom>
        <vertical/>
        <horizontal/>
      </border>
    </dxf>
    <dxf>
      <font>
        <b/>
        <i val="0"/>
        <sz val="8"/>
        <color theme="0"/>
        <name val="Calibri Light"/>
        <family val="2"/>
        <scheme val="major"/>
      </font>
      <fill>
        <patternFill>
          <bgColor rgb="FF002060"/>
        </patternFill>
      </fill>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fill>
        <patternFill>
          <bgColor theme="4" tint="-0.24994659260841701"/>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Light1 2" pivot="0" table="0" count="10" xr9:uid="{FB97EA15-B30E-401C-BB51-274953ADAD2C}">
      <tableStyleElement type="wholeTable" dxfId="155"/>
      <tableStyleElement type="headerRow" dxfId="154"/>
    </tableStyle>
    <tableStyle name="SlicerStyleLight1 2 2" pivot="0" table="0" count="10" xr9:uid="{AB2F69F7-8018-4DE0-9FD5-06327F079FD0}">
      <tableStyleElement type="wholeTable" dxfId="153"/>
      <tableStyleElement type="headerRow" dxfId="152"/>
    </tableStyle>
  </tableStyles>
  <colors>
    <mruColors>
      <color rgb="FF486590"/>
      <color rgb="FFFF743D"/>
      <color rgb="FF0E0F2E"/>
      <color rgb="FF437C2C"/>
      <color rgb="FFFF3300"/>
      <color rgb="FF5DD11D"/>
      <color rgb="FF45937B"/>
      <color rgb="FF9F5FCF"/>
      <color rgb="FFF64668"/>
      <color rgb="FFEAAC52"/>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6337778862885"/>
              <bgColor rgb="FFA565D9"/>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tyles" Target="styles.xml"/><Relationship Id="rId18" Type="http://schemas.openxmlformats.org/officeDocument/2006/relationships/customXml" Target="../customXml/item2.xml"/><Relationship Id="rId26" Type="http://schemas.openxmlformats.org/officeDocument/2006/relationships/customXml" Target="../customXml/item10.xml"/><Relationship Id="rId21" Type="http://schemas.openxmlformats.org/officeDocument/2006/relationships/customXml" Target="../customXml/item5.xml"/><Relationship Id="rId34" Type="http://schemas.openxmlformats.org/officeDocument/2006/relationships/customXml" Target="../customXml/item18.xml"/><Relationship Id="rId7" Type="http://schemas.openxmlformats.org/officeDocument/2006/relationships/pivotCacheDefinition" Target="pivotCache/pivotCacheDefinition1.xml"/><Relationship Id="rId12" Type="http://schemas.openxmlformats.org/officeDocument/2006/relationships/connections" Target="connections.xml"/><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24" Type="http://schemas.openxmlformats.org/officeDocument/2006/relationships/customXml" Target="../customXml/item8.xml"/><Relationship Id="rId32" Type="http://schemas.openxmlformats.org/officeDocument/2006/relationships/customXml" Target="../customXml/item16.xml"/><Relationship Id="rId37"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36" Type="http://schemas.openxmlformats.org/officeDocument/2006/relationships/customXml" Target="../customXml/item20.xml"/><Relationship Id="rId10" Type="http://schemas.microsoft.com/office/2007/relationships/slicerCache" Target="slicerCaches/slicerCache2.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35" Type="http://schemas.openxmlformats.org/officeDocument/2006/relationships/customXml" Target="../customXml/item19.xml"/><Relationship Id="rId8" Type="http://schemas.openxmlformats.org/officeDocument/2006/relationships/pivotCacheDefinition" Target="pivotCache/pivotCacheDefinition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[Lap PKL.xlsm]PivotTable!PivotTable7</c:name>
    <c:fmtId val="7"/>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tx>
            <c:strRef>
              <c:f>PivotTable!$B$8</c:f>
              <c:strCache>
                <c:ptCount val="1"/>
                <c:pt idx="0">
                  <c:v>Sum of Prestasi Bidang Olahraga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PivotTable!$A$9:$A$10</c:f>
              <c:strCache>
                <c:ptCount val="1"/>
                <c:pt idx="0">
                  <c:v>2020</c:v>
                </c:pt>
              </c:strCache>
            </c:strRef>
          </c:cat>
          <c:val>
            <c:numRef>
              <c:f>PivotTable!$B$9:$B$10</c:f>
              <c:numCache>
                <c:formatCode>General</c:formatCode>
                <c:ptCount val="1"/>
                <c:pt idx="0">
                  <c:v>1</c:v>
                </c:pt>
              </c:numCache>
            </c:numRef>
          </c:val>
          <c:extLst>
            <c:ext xmlns:c16="http://schemas.microsoft.com/office/drawing/2014/chart" uri="{C3380CC4-5D6E-409C-BE32-E72D297353CC}">
              <c16:uniqueId val="{00000000-7399-4688-9EC4-A51A9AD5A60B}"/>
            </c:ext>
          </c:extLst>
        </c:ser>
        <c:ser>
          <c:idx val="1"/>
          <c:order val="1"/>
          <c:tx>
            <c:strRef>
              <c:f>PivotTable!$C$8</c:f>
              <c:strCache>
                <c:ptCount val="1"/>
                <c:pt idx="0">
                  <c:v>Sum of Prestasi Bidang Pendidikan</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PivotTable!$A$9:$A$10</c:f>
              <c:strCache>
                <c:ptCount val="1"/>
                <c:pt idx="0">
                  <c:v>2020</c:v>
                </c:pt>
              </c:strCache>
            </c:strRef>
          </c:cat>
          <c:val>
            <c:numRef>
              <c:f>PivotTable!$C$9:$C$10</c:f>
              <c:numCache>
                <c:formatCode>General</c:formatCode>
                <c:ptCount val="1"/>
                <c:pt idx="0">
                  <c:v>4</c:v>
                </c:pt>
              </c:numCache>
            </c:numRef>
          </c:val>
          <c:extLst>
            <c:ext xmlns:c16="http://schemas.microsoft.com/office/drawing/2014/chart" uri="{C3380CC4-5D6E-409C-BE32-E72D297353CC}">
              <c16:uniqueId val="{00000001-7399-4688-9EC4-A51A9AD5A60B}"/>
            </c:ext>
          </c:extLst>
        </c:ser>
        <c:ser>
          <c:idx val="2"/>
          <c:order val="2"/>
          <c:tx>
            <c:strRef>
              <c:f>PivotTable!$D$8</c:f>
              <c:strCache>
                <c:ptCount val="1"/>
                <c:pt idx="0">
                  <c:v>Sum of Prestasi Bidang Kesenian</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PivotTable!$A$9:$A$10</c:f>
              <c:strCache>
                <c:ptCount val="1"/>
                <c:pt idx="0">
                  <c:v>2020</c:v>
                </c:pt>
              </c:strCache>
            </c:strRef>
          </c:cat>
          <c:val>
            <c:numRef>
              <c:f>PivotTable!$D$9:$D$10</c:f>
              <c:numCache>
                <c:formatCode>General</c:formatCode>
                <c:ptCount val="1"/>
                <c:pt idx="0">
                  <c:v>0</c:v>
                </c:pt>
              </c:numCache>
            </c:numRef>
          </c:val>
          <c:extLst>
            <c:ext xmlns:c16="http://schemas.microsoft.com/office/drawing/2014/chart" uri="{C3380CC4-5D6E-409C-BE32-E72D297353CC}">
              <c16:uniqueId val="{00000002-7399-4688-9EC4-A51A9AD5A60B}"/>
            </c:ext>
          </c:extLst>
        </c:ser>
        <c:ser>
          <c:idx val="3"/>
          <c:order val="3"/>
          <c:tx>
            <c:strRef>
              <c:f>PivotTable!$E$8</c:f>
              <c:strCache>
                <c:ptCount val="1"/>
                <c:pt idx="0">
                  <c:v>Sum of Prestasi Bidang Kebersihan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PivotTable!$A$9:$A$10</c:f>
              <c:strCache>
                <c:ptCount val="1"/>
                <c:pt idx="0">
                  <c:v>2020</c:v>
                </c:pt>
              </c:strCache>
            </c:strRef>
          </c:cat>
          <c:val>
            <c:numRef>
              <c:f>PivotTable!$E$9:$E$10</c:f>
              <c:numCache>
                <c:formatCode>General</c:formatCode>
                <c:ptCount val="1"/>
                <c:pt idx="0">
                  <c:v>0</c:v>
                </c:pt>
              </c:numCache>
            </c:numRef>
          </c:val>
          <c:extLst>
            <c:ext xmlns:c16="http://schemas.microsoft.com/office/drawing/2014/chart" uri="{C3380CC4-5D6E-409C-BE32-E72D297353CC}">
              <c16:uniqueId val="{00000003-7399-4688-9EC4-A51A9AD5A60B}"/>
            </c:ext>
          </c:extLst>
        </c:ser>
        <c:dLbls>
          <c:showLegendKey val="0"/>
          <c:showVal val="1"/>
          <c:showCatName val="0"/>
          <c:showSerName val="0"/>
          <c:showPercent val="0"/>
          <c:showBubbleSize val="0"/>
        </c:dLbls>
        <c:gapWidth val="150"/>
        <c:shape val="box"/>
        <c:axId val="1515445392"/>
        <c:axId val="1515448304"/>
        <c:axId val="0"/>
      </c:bar3DChart>
      <c:catAx>
        <c:axId val="1515445392"/>
        <c:scaling>
          <c:orientation val="minMax"/>
        </c:scaling>
        <c:delete val="1"/>
        <c:axPos val="b"/>
        <c:numFmt formatCode="General" sourceLinked="1"/>
        <c:majorTickMark val="none"/>
        <c:minorTickMark val="none"/>
        <c:tickLblPos val="nextTo"/>
        <c:crossAx val="1515448304"/>
        <c:crosses val="autoZero"/>
        <c:auto val="1"/>
        <c:lblAlgn val="ctr"/>
        <c:lblOffset val="100"/>
        <c:noMultiLvlLbl val="0"/>
      </c:catAx>
      <c:valAx>
        <c:axId val="1515448304"/>
        <c:scaling>
          <c:orientation val="minMax"/>
        </c:scaling>
        <c:delete val="1"/>
        <c:axPos val="l"/>
        <c:numFmt formatCode="General" sourceLinked="1"/>
        <c:majorTickMark val="none"/>
        <c:minorTickMark val="none"/>
        <c:tickLblPos val="nextTo"/>
        <c:crossAx val="1515445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[Lap PKL.xlsm]PivotTable!PivotTable13</c:name>
    <c:fmtId val="3"/>
  </c:pivotSource>
  <c:chart>
    <c:autoTitleDeleted val="1"/>
    <c:pivotFmts>
      <c:pivotFmt>
        <c:idx val="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sp3d/>
        </c:spPr>
      </c:pivotFmt>
      <c:pivotFmt>
        <c:idx val="16"/>
        <c:spPr>
          <a:solidFill>
            <a:schemeClr val="accent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bar"/>
        <c:grouping val="clustered"/>
        <c:varyColors val="0"/>
        <c:ser>
          <c:idx val="0"/>
          <c:order val="0"/>
          <c:tx>
            <c:strRef>
              <c:f>PivotTable!$B$50:$B$51</c:f>
              <c:strCache>
                <c:ptCount val="1"/>
                <c:pt idx="0">
                  <c:v>2020</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PivotTable!$A$52:$A$56</c:f>
              <c:strCache>
                <c:ptCount val="5"/>
                <c:pt idx="0">
                  <c:v>Sum of Prestasi Bidang Pendidikan Jenjang TK</c:v>
                </c:pt>
                <c:pt idx="1">
                  <c:v>Sum of Prestasi Bidang Pendidikan Jenjang SD/MI</c:v>
                </c:pt>
                <c:pt idx="2">
                  <c:v>Sum of Prestasi Bidang Pendidikan Jenjang SMP/MTs</c:v>
                </c:pt>
                <c:pt idx="3">
                  <c:v>Sum of Prestasi Bidang Pendidikan Jenjang SMA/SMK/MA</c:v>
                </c:pt>
                <c:pt idx="4">
                  <c:v>Sum of Prestasi Bidang Pendidikan Jenjang Perguruan Tinggi</c:v>
                </c:pt>
              </c:strCache>
            </c:strRef>
          </c:cat>
          <c:val>
            <c:numRef>
              <c:f>PivotTable!$B$52:$B$56</c:f>
              <c:numCache>
                <c:formatCode>General</c:formatCode>
                <c:ptCount val="5"/>
                <c:pt idx="0">
                  <c:v>0</c:v>
                </c:pt>
                <c:pt idx="1">
                  <c:v>2</c:v>
                </c:pt>
                <c:pt idx="2">
                  <c:v>1</c:v>
                </c:pt>
                <c:pt idx="3">
                  <c:v>1</c:v>
                </c:pt>
                <c:pt idx="4">
                  <c:v>0</c:v>
                </c:pt>
              </c:numCache>
            </c:numRef>
          </c:val>
          <c:shape val="cylinder"/>
          <c:extLst>
            <c:ext xmlns:c16="http://schemas.microsoft.com/office/drawing/2014/chart" uri="{C3380CC4-5D6E-409C-BE32-E72D297353CC}">
              <c16:uniqueId val="{00000000-7EB1-4C6A-84D8-7CD9E7BB7BB5}"/>
            </c:ext>
          </c:extLst>
        </c:ser>
        <c:dLbls>
          <c:showLegendKey val="0"/>
          <c:showVal val="0"/>
          <c:showCatName val="0"/>
          <c:showSerName val="0"/>
          <c:showPercent val="0"/>
          <c:showBubbleSize val="0"/>
        </c:dLbls>
        <c:gapWidth val="75"/>
        <c:shape val="box"/>
        <c:axId val="794475664"/>
        <c:axId val="794475248"/>
        <c:axId val="0"/>
      </c:bar3DChart>
      <c:catAx>
        <c:axId val="794475664"/>
        <c:scaling>
          <c:orientation val="minMax"/>
        </c:scaling>
        <c:delete val="1"/>
        <c:axPos val="l"/>
        <c:numFmt formatCode="General" sourceLinked="1"/>
        <c:majorTickMark val="none"/>
        <c:minorTickMark val="none"/>
        <c:tickLblPos val="nextTo"/>
        <c:crossAx val="794475248"/>
        <c:crosses val="autoZero"/>
        <c:auto val="1"/>
        <c:lblAlgn val="ctr"/>
        <c:lblOffset val="100"/>
        <c:noMultiLvlLbl val="0"/>
      </c:catAx>
      <c:valAx>
        <c:axId val="794475248"/>
        <c:scaling>
          <c:orientation val="minMax"/>
        </c:scaling>
        <c:delete val="1"/>
        <c:axPos val="b"/>
        <c:numFmt formatCode="General" sourceLinked="1"/>
        <c:majorTickMark val="none"/>
        <c:minorTickMark val="none"/>
        <c:tickLblPos val="nextTo"/>
        <c:crossAx val="794475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PivotTable!$C$121</c:f>
              <c:strCache>
                <c:ptCount val="1"/>
                <c:pt idx="0">
                  <c:v>Grafik Persen</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PivotTable!$B$122:$B$126</c:f>
              <c:strCache>
                <c:ptCount val="5"/>
                <c:pt idx="0">
                  <c:v>0-11 tahun</c:v>
                </c:pt>
                <c:pt idx="1">
                  <c:v>12-25 tahun</c:v>
                </c:pt>
                <c:pt idx="2">
                  <c:v>26-45 tahun</c:v>
                </c:pt>
                <c:pt idx="3">
                  <c:v>46-65 tahun</c:v>
                </c:pt>
                <c:pt idx="4">
                  <c:v>&gt; 65 tahun</c:v>
                </c:pt>
              </c:strCache>
            </c:strRef>
          </c:cat>
          <c:val>
            <c:numRef>
              <c:f>PivotTable!$C$122:$C$126</c:f>
              <c:numCache>
                <c:formatCode>0%</c:formatCode>
                <c:ptCount val="5"/>
                <c:pt idx="0">
                  <c:v>9.2672413793103453E-2</c:v>
                </c:pt>
                <c:pt idx="1">
                  <c:v>7.9741379310344834E-2</c:v>
                </c:pt>
                <c:pt idx="2">
                  <c:v>6.8965517241379309E-2</c:v>
                </c:pt>
                <c:pt idx="3">
                  <c:v>0.23491379310344829</c:v>
                </c:pt>
                <c:pt idx="4">
                  <c:v>0.52370689655172409</c:v>
                </c:pt>
              </c:numCache>
            </c:numRef>
          </c:val>
          <c:smooth val="0"/>
          <c:extLst>
            <c:ext xmlns:c16="http://schemas.microsoft.com/office/drawing/2014/chart" uri="{C3380CC4-5D6E-409C-BE32-E72D297353CC}">
              <c16:uniqueId val="{00000000-F240-49B7-BBFA-39FCBAF3533A}"/>
            </c:ext>
          </c:extLst>
        </c:ser>
        <c:dLbls>
          <c:showLegendKey val="0"/>
          <c:showVal val="0"/>
          <c:showCatName val="0"/>
          <c:showSerName val="0"/>
          <c:showPercent val="0"/>
          <c:showBubbleSize val="0"/>
        </c:dLbls>
        <c:marker val="1"/>
        <c:smooth val="0"/>
        <c:axId val="794485232"/>
        <c:axId val="794482736"/>
      </c:lineChart>
      <c:catAx>
        <c:axId val="794485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6">
                    <a:lumMod val="40000"/>
                    <a:lumOff val="60000"/>
                  </a:schemeClr>
                </a:solidFill>
                <a:latin typeface="+mn-lt"/>
                <a:ea typeface="+mn-ea"/>
                <a:cs typeface="+mn-cs"/>
              </a:defRPr>
            </a:pPr>
            <a:endParaRPr lang="en-US"/>
          </a:p>
        </c:txPr>
        <c:crossAx val="794482736"/>
        <c:crosses val="autoZero"/>
        <c:auto val="1"/>
        <c:lblAlgn val="ctr"/>
        <c:lblOffset val="100"/>
        <c:noMultiLvlLbl val="0"/>
      </c:catAx>
      <c:valAx>
        <c:axId val="794482736"/>
        <c:scaling>
          <c:orientation val="minMax"/>
        </c:scaling>
        <c:delete val="1"/>
        <c:axPos val="l"/>
        <c:numFmt formatCode="0%" sourceLinked="1"/>
        <c:majorTickMark val="none"/>
        <c:minorTickMark val="none"/>
        <c:tickLblPos val="nextTo"/>
        <c:crossAx val="794485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BE2-4DE2-A172-7B1F1E88921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E2-4DE2-A172-7B1F1E88921B}"/>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PivotTable!$D$111:$D$112</c:f>
              <c:strCache>
                <c:ptCount val="2"/>
                <c:pt idx="0">
                  <c:v>Lahan Produktif</c:v>
                </c:pt>
                <c:pt idx="1">
                  <c:v>Lahan Tidak Produktif</c:v>
                </c:pt>
              </c:strCache>
            </c:strRef>
          </c:cat>
          <c:val>
            <c:numRef>
              <c:f>PivotTable!$E$111:$E$112</c:f>
              <c:numCache>
                <c:formatCode>0%</c:formatCode>
                <c:ptCount val="2"/>
                <c:pt idx="0">
                  <c:v>0.93598776815768214</c:v>
                </c:pt>
                <c:pt idx="1">
                  <c:v>6.4012231842317899E-2</c:v>
                </c:pt>
              </c:numCache>
            </c:numRef>
          </c:val>
          <c:extLst>
            <c:ext xmlns:c16="http://schemas.microsoft.com/office/drawing/2014/chart" uri="{C3380CC4-5D6E-409C-BE32-E72D297353CC}">
              <c16:uniqueId val="{00000004-2BE2-4DE2-A172-7B1F1E88921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606060606060608E-2"/>
          <c:y val="0.11924109063347149"/>
          <c:w val="0.87878787878787878"/>
          <c:h val="0.6415068347670414"/>
        </c:manualLayout>
      </c:layout>
      <c:barChart>
        <c:barDir val="bar"/>
        <c:grouping val="percentStacked"/>
        <c:varyColors val="0"/>
        <c:ser>
          <c:idx val="0"/>
          <c:order val="0"/>
          <c:tx>
            <c:strRef>
              <c:f>PivotTable!$J$23</c:f>
              <c:strCache>
                <c:ptCount val="1"/>
                <c:pt idx="0">
                  <c:v>Islam</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PivotTable!$K$22:$L$22</c:f>
              <c:strCache>
                <c:ptCount val="2"/>
                <c:pt idx="0">
                  <c:v>Jumlah Penduduk</c:v>
                </c:pt>
                <c:pt idx="1">
                  <c:v>Jumlah Tempat Peribadatan</c:v>
                </c:pt>
              </c:strCache>
            </c:strRef>
          </c:cat>
          <c:val>
            <c:numRef>
              <c:f>PivotTable!$K$23:$L$23</c:f>
              <c:numCache>
                <c:formatCode>0%</c:formatCode>
                <c:ptCount val="2"/>
                <c:pt idx="0">
                  <c:v>0.95997786794540763</c:v>
                </c:pt>
                <c:pt idx="1">
                  <c:v>0.95692307692307688</c:v>
                </c:pt>
              </c:numCache>
            </c:numRef>
          </c:val>
          <c:extLst>
            <c:ext xmlns:c16="http://schemas.microsoft.com/office/drawing/2014/chart" uri="{C3380CC4-5D6E-409C-BE32-E72D297353CC}">
              <c16:uniqueId val="{00000000-7B78-48B0-B583-B88DB1588805}"/>
            </c:ext>
          </c:extLst>
        </c:ser>
        <c:ser>
          <c:idx val="1"/>
          <c:order val="1"/>
          <c:tx>
            <c:strRef>
              <c:f>PivotTable!$J$24</c:f>
              <c:strCache>
                <c:ptCount val="1"/>
                <c:pt idx="0">
                  <c:v>Kristen Protestan</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PivotTable!$K$22:$L$22</c:f>
              <c:strCache>
                <c:ptCount val="2"/>
                <c:pt idx="0">
                  <c:v>Jumlah Penduduk</c:v>
                </c:pt>
                <c:pt idx="1">
                  <c:v>Jumlah Tempat Peribadatan</c:v>
                </c:pt>
              </c:strCache>
            </c:strRef>
          </c:cat>
          <c:val>
            <c:numRef>
              <c:f>PivotTable!$K$24:$L$24</c:f>
              <c:numCache>
                <c:formatCode>0%</c:formatCode>
                <c:ptCount val="2"/>
                <c:pt idx="0">
                  <c:v>3.1001643137386407E-2</c:v>
                </c:pt>
                <c:pt idx="1">
                  <c:v>2.4615384615384615E-2</c:v>
                </c:pt>
              </c:numCache>
            </c:numRef>
          </c:val>
          <c:extLst>
            <c:ext xmlns:c16="http://schemas.microsoft.com/office/drawing/2014/chart" uri="{C3380CC4-5D6E-409C-BE32-E72D297353CC}">
              <c16:uniqueId val="{00000001-7B78-48B0-B583-B88DB1588805}"/>
            </c:ext>
          </c:extLst>
        </c:ser>
        <c:ser>
          <c:idx val="2"/>
          <c:order val="2"/>
          <c:tx>
            <c:strRef>
              <c:f>PivotTable!$J$25</c:f>
              <c:strCache>
                <c:ptCount val="1"/>
                <c:pt idx="0">
                  <c:v>Kristen Katolik</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PivotTable!$K$22:$L$22</c:f>
              <c:strCache>
                <c:ptCount val="2"/>
                <c:pt idx="0">
                  <c:v>Jumlah Penduduk</c:v>
                </c:pt>
                <c:pt idx="1">
                  <c:v>Jumlah Tempat Peribadatan</c:v>
                </c:pt>
              </c:strCache>
            </c:strRef>
          </c:cat>
          <c:val>
            <c:numRef>
              <c:f>PivotTable!$K$25:$L$25</c:f>
              <c:numCache>
                <c:formatCode>0%</c:formatCode>
                <c:ptCount val="2"/>
                <c:pt idx="0">
                  <c:v>2.1796720431910399E-4</c:v>
                </c:pt>
                <c:pt idx="1">
                  <c:v>3.0769230769230769E-3</c:v>
                </c:pt>
              </c:numCache>
            </c:numRef>
          </c:val>
          <c:extLst>
            <c:ext xmlns:c16="http://schemas.microsoft.com/office/drawing/2014/chart" uri="{C3380CC4-5D6E-409C-BE32-E72D297353CC}">
              <c16:uniqueId val="{00000002-7B78-48B0-B583-B88DB1588805}"/>
            </c:ext>
          </c:extLst>
        </c:ser>
        <c:ser>
          <c:idx val="3"/>
          <c:order val="3"/>
          <c:tx>
            <c:strRef>
              <c:f>PivotTable!$J$26</c:f>
              <c:strCache>
                <c:ptCount val="1"/>
                <c:pt idx="0">
                  <c:v>Hindu</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bg1">
                        <a:lumMod val="9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PivotTable!$K$22:$L$22</c:f>
              <c:strCache>
                <c:ptCount val="2"/>
                <c:pt idx="0">
                  <c:v>Jumlah Penduduk</c:v>
                </c:pt>
                <c:pt idx="1">
                  <c:v>Jumlah Tempat Peribadatan</c:v>
                </c:pt>
              </c:strCache>
            </c:strRef>
          </c:cat>
          <c:val>
            <c:numRef>
              <c:f>PivotTable!$K$26:$L$26</c:f>
              <c:numCache>
                <c:formatCode>0%</c:formatCode>
                <c:ptCount val="2"/>
                <c:pt idx="0">
                  <c:v>8.5342543844941481E-3</c:v>
                </c:pt>
                <c:pt idx="1">
                  <c:v>1.2307692307692308E-2</c:v>
                </c:pt>
              </c:numCache>
            </c:numRef>
          </c:val>
          <c:extLst>
            <c:ext xmlns:c16="http://schemas.microsoft.com/office/drawing/2014/chart" uri="{C3380CC4-5D6E-409C-BE32-E72D297353CC}">
              <c16:uniqueId val="{00000003-7B78-48B0-B583-B88DB1588805}"/>
            </c:ext>
          </c:extLst>
        </c:ser>
        <c:ser>
          <c:idx val="4"/>
          <c:order val="4"/>
          <c:tx>
            <c:strRef>
              <c:f>PivotTable!$J$27</c:f>
              <c:strCache>
                <c:ptCount val="1"/>
                <c:pt idx="0">
                  <c:v>Buddha</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PivotTable!$K$22:$L$22</c:f>
              <c:strCache>
                <c:ptCount val="2"/>
                <c:pt idx="0">
                  <c:v>Jumlah Penduduk</c:v>
                </c:pt>
                <c:pt idx="1">
                  <c:v>Jumlah Tempat Peribadatan</c:v>
                </c:pt>
              </c:strCache>
            </c:strRef>
          </c:cat>
          <c:val>
            <c:numRef>
              <c:f>PivotTable!$K$27:$L$27</c:f>
              <c:numCache>
                <c:formatCode>0%</c:formatCode>
                <c:ptCount val="2"/>
                <c:pt idx="0">
                  <c:v>1.1736695617182523E-4</c:v>
                </c:pt>
                <c:pt idx="1">
                  <c:v>0</c:v>
                </c:pt>
              </c:numCache>
            </c:numRef>
          </c:val>
          <c:extLst>
            <c:ext xmlns:c16="http://schemas.microsoft.com/office/drawing/2014/chart" uri="{C3380CC4-5D6E-409C-BE32-E72D297353CC}">
              <c16:uniqueId val="{00000004-7B78-48B0-B583-B88DB1588805}"/>
            </c:ext>
          </c:extLst>
        </c:ser>
        <c:ser>
          <c:idx val="5"/>
          <c:order val="5"/>
          <c:tx>
            <c:strRef>
              <c:f>PivotTable!$J$28</c:f>
              <c:strCache>
                <c:ptCount val="1"/>
                <c:pt idx="0">
                  <c:v>Konghucu</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PivotTable!$K$22:$L$22</c:f>
              <c:strCache>
                <c:ptCount val="2"/>
                <c:pt idx="0">
                  <c:v>Jumlah Penduduk</c:v>
                </c:pt>
                <c:pt idx="1">
                  <c:v>Jumlah Tempat Peribadatan</c:v>
                </c:pt>
              </c:strCache>
            </c:strRef>
          </c:cat>
          <c:val>
            <c:numRef>
              <c:f>PivotTable!$K$28:$L$28</c:f>
              <c:numCache>
                <c:formatCode>0%</c:formatCode>
                <c:ptCount val="2"/>
                <c:pt idx="0">
                  <c:v>0</c:v>
                </c:pt>
                <c:pt idx="1">
                  <c:v>0</c:v>
                </c:pt>
              </c:numCache>
            </c:numRef>
          </c:val>
          <c:extLst>
            <c:ext xmlns:c16="http://schemas.microsoft.com/office/drawing/2014/chart" uri="{C3380CC4-5D6E-409C-BE32-E72D297353CC}">
              <c16:uniqueId val="{00000005-7B78-48B0-B583-B88DB1588805}"/>
            </c:ext>
          </c:extLst>
        </c:ser>
        <c:ser>
          <c:idx val="6"/>
          <c:order val="6"/>
          <c:tx>
            <c:strRef>
              <c:f>PivotTable!$J$29</c:f>
              <c:strCache>
                <c:ptCount val="1"/>
                <c:pt idx="0">
                  <c:v>Kepercayaan kepada Tuhan YME</c:v>
                </c:pt>
              </c:strCache>
            </c:strRef>
          </c:tx>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PivotTable!$K$22:$L$22</c:f>
              <c:strCache>
                <c:ptCount val="2"/>
                <c:pt idx="0">
                  <c:v>Jumlah Penduduk</c:v>
                </c:pt>
                <c:pt idx="1">
                  <c:v>Jumlah Tempat Peribadatan</c:v>
                </c:pt>
              </c:strCache>
            </c:strRef>
          </c:cat>
          <c:val>
            <c:numRef>
              <c:f>PivotTable!$K$29:$L$29</c:f>
              <c:numCache>
                <c:formatCode>0%</c:formatCode>
                <c:ptCount val="2"/>
                <c:pt idx="0">
                  <c:v>1.5090037222091813E-4</c:v>
                </c:pt>
                <c:pt idx="1">
                  <c:v>3.0769230769230769E-3</c:v>
                </c:pt>
              </c:numCache>
            </c:numRef>
          </c:val>
          <c:extLst>
            <c:ext xmlns:c16="http://schemas.microsoft.com/office/drawing/2014/chart" uri="{C3380CC4-5D6E-409C-BE32-E72D297353CC}">
              <c16:uniqueId val="{00000006-7B78-48B0-B583-B88DB1588805}"/>
            </c:ext>
          </c:extLst>
        </c:ser>
        <c:dLbls>
          <c:showLegendKey val="0"/>
          <c:showVal val="0"/>
          <c:showCatName val="0"/>
          <c:showSerName val="0"/>
          <c:showPercent val="0"/>
          <c:showBubbleSize val="0"/>
        </c:dLbls>
        <c:gapWidth val="183"/>
        <c:overlap val="100"/>
        <c:axId val="614033472"/>
        <c:axId val="614032640"/>
      </c:barChart>
      <c:catAx>
        <c:axId val="614033472"/>
        <c:scaling>
          <c:orientation val="minMax"/>
        </c:scaling>
        <c:delete val="1"/>
        <c:axPos val="l"/>
        <c:numFmt formatCode="General" sourceLinked="1"/>
        <c:majorTickMark val="none"/>
        <c:minorTickMark val="none"/>
        <c:tickLblPos val="nextTo"/>
        <c:crossAx val="614032640"/>
        <c:crosses val="autoZero"/>
        <c:auto val="1"/>
        <c:lblAlgn val="ctr"/>
        <c:lblOffset val="100"/>
        <c:noMultiLvlLbl val="0"/>
      </c:catAx>
      <c:valAx>
        <c:axId val="614032640"/>
        <c:scaling>
          <c:orientation val="minMax"/>
        </c:scaling>
        <c:delete val="1"/>
        <c:axPos val="b"/>
        <c:numFmt formatCode="0%" sourceLinked="1"/>
        <c:majorTickMark val="none"/>
        <c:minorTickMark val="none"/>
        <c:tickLblPos val="nextTo"/>
        <c:crossAx val="614033472"/>
        <c:crosses val="autoZero"/>
        <c:crossBetween val="between"/>
      </c:valAx>
      <c:spPr>
        <a:noFill/>
        <a:ln>
          <a:noFill/>
        </a:ln>
        <a:effectLst/>
      </c:spPr>
    </c:plotArea>
    <c:legend>
      <c:legendPos val="b"/>
      <c:layout>
        <c:manualLayout>
          <c:xMode val="edge"/>
          <c:yMode val="edge"/>
          <c:x val="3.8095238095238099E-2"/>
          <c:y val="0.73859426662576289"/>
          <c:w val="0.96190476190476193"/>
          <c:h val="0.22322800559021028"/>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600">
          <a:solidFill>
            <a:schemeClr val="bg1">
              <a:lumMod val="95000"/>
            </a:schemeClr>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152500630395091"/>
          <c:y val="7.0853462157809979E-2"/>
          <c:w val="0.24190108200444788"/>
          <c:h val="0.51769181026284761"/>
        </c:manualLayout>
      </c:layout>
      <c:pieChart>
        <c:varyColors val="1"/>
        <c:ser>
          <c:idx val="0"/>
          <c:order val="0"/>
          <c:tx>
            <c:strRef>
              <c:f>PivotTable!$R$58</c:f>
              <c:strCache>
                <c:ptCount val="1"/>
                <c:pt idx="0">
                  <c:v>Banyak Sumber Air</c:v>
                </c:pt>
              </c:strCache>
            </c:strRef>
          </c:tx>
          <c:explosion val="1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08B7-4B38-A141-F48613F3457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08B7-4B38-A141-F48613F3457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08B7-4B38-A141-F48613F3457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08B7-4B38-A141-F48613F3457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08B7-4B38-A141-F48613F34572}"/>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extLst>
              <c:ext xmlns:c16="http://schemas.microsoft.com/office/drawing/2014/chart" uri="{C3380CC4-5D6E-409C-BE32-E72D297353CC}">
                <c16:uniqueId val="{0000000B-08B7-4B38-A141-F48613F34572}"/>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D-08B7-4B38-A141-F48613F34572}"/>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F-08B7-4B38-A141-F48613F34572}"/>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1-08B7-4B38-A141-F48613F34572}"/>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3-08B7-4B38-A141-F48613F34572}"/>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5-08B7-4B38-A141-F48613F34572}"/>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17-08B7-4B38-A141-F48613F34572}"/>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c:spPr>
            <c:extLst>
              <c:ext xmlns:c16="http://schemas.microsoft.com/office/drawing/2014/chart" uri="{C3380CC4-5D6E-409C-BE32-E72D297353CC}">
                <c16:uniqueId val="{00000019-08B7-4B38-A141-F48613F34572}"/>
              </c:ext>
            </c:extLst>
          </c:dPt>
          <c:cat>
            <c:strRef>
              <c:f>PivotTable!$Q$59:$Q$71</c:f>
              <c:strCache>
                <c:ptCount val="13"/>
                <c:pt idx="0">
                  <c:v>Lebakharjo</c:v>
                </c:pt>
                <c:pt idx="1">
                  <c:v>Wirotaman</c:v>
                </c:pt>
                <c:pt idx="2">
                  <c:v>Tamanasri</c:v>
                </c:pt>
                <c:pt idx="3">
                  <c:v>Tirtomarto</c:v>
                </c:pt>
                <c:pt idx="4">
                  <c:v>Purwoharjo</c:v>
                </c:pt>
                <c:pt idx="5">
                  <c:v>Sidorenggo</c:v>
                </c:pt>
                <c:pt idx="6">
                  <c:v>Tirtomoyo</c:v>
                </c:pt>
                <c:pt idx="7">
                  <c:v>Argoyuwono</c:v>
                </c:pt>
                <c:pt idx="8">
                  <c:v>Mulyoasri</c:v>
                </c:pt>
                <c:pt idx="9">
                  <c:v>Tawangagung</c:v>
                </c:pt>
                <c:pt idx="10">
                  <c:v>Simojayan</c:v>
                </c:pt>
                <c:pt idx="11">
                  <c:v>Tamansari</c:v>
                </c:pt>
                <c:pt idx="12">
                  <c:v>Sonowangi</c:v>
                </c:pt>
              </c:strCache>
            </c:strRef>
          </c:cat>
          <c:val>
            <c:numRef>
              <c:f>PivotTable!$R$59:$R$71</c:f>
              <c:numCache>
                <c:formatCode>0%</c:formatCode>
                <c:ptCount val="13"/>
                <c:pt idx="0">
                  <c:v>8.5365853658536592E-2</c:v>
                </c:pt>
                <c:pt idx="1">
                  <c:v>6.097560975609756E-2</c:v>
                </c:pt>
                <c:pt idx="2">
                  <c:v>8.5365853658536592E-2</c:v>
                </c:pt>
                <c:pt idx="3">
                  <c:v>0</c:v>
                </c:pt>
                <c:pt idx="4">
                  <c:v>4.878048780487805E-2</c:v>
                </c:pt>
                <c:pt idx="5">
                  <c:v>0</c:v>
                </c:pt>
                <c:pt idx="6">
                  <c:v>7.3170731707317069E-2</c:v>
                </c:pt>
                <c:pt idx="7">
                  <c:v>0.10975609756097561</c:v>
                </c:pt>
                <c:pt idx="8">
                  <c:v>0.10975609756097561</c:v>
                </c:pt>
                <c:pt idx="9">
                  <c:v>2.4390243902439025E-2</c:v>
                </c:pt>
                <c:pt idx="10">
                  <c:v>0.18292682926829268</c:v>
                </c:pt>
                <c:pt idx="11">
                  <c:v>0.17073170731707318</c:v>
                </c:pt>
                <c:pt idx="12">
                  <c:v>4.878048780487805E-2</c:v>
                </c:pt>
              </c:numCache>
            </c:numRef>
          </c:val>
          <c:extLst>
            <c:ext xmlns:c16="http://schemas.microsoft.com/office/drawing/2014/chart" uri="{C3380CC4-5D6E-409C-BE32-E72D297353CC}">
              <c16:uniqueId val="{0000001A-08B7-4B38-A141-F48613F34572}"/>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30543234675711489"/>
          <c:y val="0.70343337517592908"/>
          <c:w val="0.6529075433171484"/>
          <c:h val="0.21664118072197497"/>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bg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PivotTable!$R$85</c:f>
              <c:strCache>
                <c:ptCount val="1"/>
                <c:pt idx="0">
                  <c:v>Jumlah Pembinaan ke Masyarakat</c:v>
                </c:pt>
              </c:strCache>
            </c:strRef>
          </c:tx>
          <c:spPr>
            <a:ln>
              <a:noFill/>
            </a:ln>
          </c:spPr>
          <c:explosion val="10"/>
          <c:dPt>
            <c:idx val="0"/>
            <c:bubble3D val="0"/>
            <c:spPr>
              <a:solidFill>
                <a:schemeClr val="accent1"/>
              </a:solidFill>
              <a:ln w="19050">
                <a:noFill/>
              </a:ln>
              <a:effectLst/>
            </c:spPr>
            <c:extLst>
              <c:ext xmlns:c16="http://schemas.microsoft.com/office/drawing/2014/chart" uri="{C3380CC4-5D6E-409C-BE32-E72D297353CC}">
                <c16:uniqueId val="{00000001-E211-4931-AA61-1F455DBEACB3}"/>
              </c:ext>
            </c:extLst>
          </c:dPt>
          <c:dPt>
            <c:idx val="1"/>
            <c:bubble3D val="0"/>
            <c:spPr>
              <a:solidFill>
                <a:schemeClr val="accent2"/>
              </a:solidFill>
              <a:ln w="19050">
                <a:noFill/>
              </a:ln>
              <a:effectLst/>
            </c:spPr>
            <c:extLst>
              <c:ext xmlns:c16="http://schemas.microsoft.com/office/drawing/2014/chart" uri="{C3380CC4-5D6E-409C-BE32-E72D297353CC}">
                <c16:uniqueId val="{00000003-E211-4931-AA61-1F455DBEACB3}"/>
              </c:ext>
            </c:extLst>
          </c:dPt>
          <c:dPt>
            <c:idx val="2"/>
            <c:bubble3D val="0"/>
            <c:spPr>
              <a:solidFill>
                <a:schemeClr val="accent3"/>
              </a:solidFill>
              <a:ln w="19050">
                <a:noFill/>
              </a:ln>
              <a:effectLst/>
            </c:spPr>
            <c:extLst>
              <c:ext xmlns:c16="http://schemas.microsoft.com/office/drawing/2014/chart" uri="{C3380CC4-5D6E-409C-BE32-E72D297353CC}">
                <c16:uniqueId val="{00000005-E211-4931-AA61-1F455DBEACB3}"/>
              </c:ext>
            </c:extLst>
          </c:dPt>
          <c:dPt>
            <c:idx val="3"/>
            <c:bubble3D val="0"/>
            <c:spPr>
              <a:solidFill>
                <a:schemeClr val="accent4"/>
              </a:solidFill>
              <a:ln w="19050">
                <a:noFill/>
              </a:ln>
              <a:effectLst/>
            </c:spPr>
            <c:extLst>
              <c:ext xmlns:c16="http://schemas.microsoft.com/office/drawing/2014/chart" uri="{C3380CC4-5D6E-409C-BE32-E72D297353CC}">
                <c16:uniqueId val="{00000007-E211-4931-AA61-1F455DBEACB3}"/>
              </c:ext>
            </c:extLst>
          </c:dPt>
          <c:dPt>
            <c:idx val="4"/>
            <c:bubble3D val="0"/>
            <c:spPr>
              <a:solidFill>
                <a:schemeClr val="accent5"/>
              </a:solidFill>
              <a:ln w="19050">
                <a:noFill/>
              </a:ln>
              <a:effectLst/>
            </c:spPr>
            <c:extLst>
              <c:ext xmlns:c16="http://schemas.microsoft.com/office/drawing/2014/chart" uri="{C3380CC4-5D6E-409C-BE32-E72D297353CC}">
                <c16:uniqueId val="{00000009-E211-4931-AA61-1F455DBEACB3}"/>
              </c:ext>
            </c:extLst>
          </c:dPt>
          <c:dPt>
            <c:idx val="5"/>
            <c:bubble3D val="0"/>
            <c:spPr>
              <a:solidFill>
                <a:schemeClr val="accent6"/>
              </a:solidFill>
              <a:ln w="19050">
                <a:noFill/>
              </a:ln>
              <a:effectLst/>
            </c:spPr>
            <c:extLst>
              <c:ext xmlns:c16="http://schemas.microsoft.com/office/drawing/2014/chart" uri="{C3380CC4-5D6E-409C-BE32-E72D297353CC}">
                <c16:uniqueId val="{0000000B-E211-4931-AA61-1F455DBEACB3}"/>
              </c:ext>
            </c:extLst>
          </c:dPt>
          <c:dPt>
            <c:idx val="6"/>
            <c:bubble3D val="0"/>
            <c:spPr>
              <a:solidFill>
                <a:schemeClr val="accent1">
                  <a:lumMod val="60000"/>
                </a:schemeClr>
              </a:solidFill>
              <a:ln w="19050">
                <a:noFill/>
              </a:ln>
              <a:effectLst/>
            </c:spPr>
            <c:extLst>
              <c:ext xmlns:c16="http://schemas.microsoft.com/office/drawing/2014/chart" uri="{C3380CC4-5D6E-409C-BE32-E72D297353CC}">
                <c16:uniqueId val="{0000000D-E211-4931-AA61-1F455DBEACB3}"/>
              </c:ext>
            </c:extLst>
          </c:dPt>
          <c:dPt>
            <c:idx val="7"/>
            <c:bubble3D val="0"/>
            <c:spPr>
              <a:solidFill>
                <a:schemeClr val="accent2">
                  <a:lumMod val="60000"/>
                </a:schemeClr>
              </a:solidFill>
              <a:ln w="19050">
                <a:noFill/>
              </a:ln>
              <a:effectLst/>
            </c:spPr>
            <c:extLst>
              <c:ext xmlns:c16="http://schemas.microsoft.com/office/drawing/2014/chart" uri="{C3380CC4-5D6E-409C-BE32-E72D297353CC}">
                <c16:uniqueId val="{0000000F-E211-4931-AA61-1F455DBEACB3}"/>
              </c:ext>
            </c:extLst>
          </c:dPt>
          <c:dPt>
            <c:idx val="8"/>
            <c:bubble3D val="0"/>
            <c:spPr>
              <a:solidFill>
                <a:schemeClr val="accent3">
                  <a:lumMod val="60000"/>
                </a:schemeClr>
              </a:solidFill>
              <a:ln w="19050">
                <a:noFill/>
              </a:ln>
              <a:effectLst/>
            </c:spPr>
            <c:extLst>
              <c:ext xmlns:c16="http://schemas.microsoft.com/office/drawing/2014/chart" uri="{C3380CC4-5D6E-409C-BE32-E72D297353CC}">
                <c16:uniqueId val="{00000011-E211-4931-AA61-1F455DBEACB3}"/>
              </c:ext>
            </c:extLst>
          </c:dPt>
          <c:dPt>
            <c:idx val="9"/>
            <c:bubble3D val="0"/>
            <c:spPr>
              <a:solidFill>
                <a:schemeClr val="accent4">
                  <a:lumMod val="60000"/>
                </a:schemeClr>
              </a:solidFill>
              <a:ln w="19050">
                <a:noFill/>
              </a:ln>
              <a:effectLst/>
            </c:spPr>
            <c:extLst>
              <c:ext xmlns:c16="http://schemas.microsoft.com/office/drawing/2014/chart" uri="{C3380CC4-5D6E-409C-BE32-E72D297353CC}">
                <c16:uniqueId val="{00000013-E211-4931-AA61-1F455DBEACB3}"/>
              </c:ext>
            </c:extLst>
          </c:dPt>
          <c:dPt>
            <c:idx val="10"/>
            <c:bubble3D val="0"/>
            <c:spPr>
              <a:solidFill>
                <a:schemeClr val="accent5">
                  <a:lumMod val="60000"/>
                </a:schemeClr>
              </a:solidFill>
              <a:ln w="19050">
                <a:noFill/>
              </a:ln>
              <a:effectLst/>
            </c:spPr>
            <c:extLst>
              <c:ext xmlns:c16="http://schemas.microsoft.com/office/drawing/2014/chart" uri="{C3380CC4-5D6E-409C-BE32-E72D297353CC}">
                <c16:uniqueId val="{00000015-E211-4931-AA61-1F455DBEACB3}"/>
              </c:ext>
            </c:extLst>
          </c:dPt>
          <c:dPt>
            <c:idx val="11"/>
            <c:bubble3D val="0"/>
            <c:spPr>
              <a:solidFill>
                <a:schemeClr val="accent6">
                  <a:lumMod val="60000"/>
                </a:schemeClr>
              </a:solidFill>
              <a:ln w="19050">
                <a:noFill/>
              </a:ln>
              <a:effectLst/>
            </c:spPr>
            <c:extLst>
              <c:ext xmlns:c16="http://schemas.microsoft.com/office/drawing/2014/chart" uri="{C3380CC4-5D6E-409C-BE32-E72D297353CC}">
                <c16:uniqueId val="{00000017-E211-4931-AA61-1F455DBEACB3}"/>
              </c:ext>
            </c:extLst>
          </c:dPt>
          <c:dPt>
            <c:idx val="12"/>
            <c:bubble3D val="0"/>
            <c:spPr>
              <a:solidFill>
                <a:schemeClr val="accent1">
                  <a:lumMod val="80000"/>
                  <a:lumOff val="20000"/>
                </a:schemeClr>
              </a:solidFill>
              <a:ln w="19050">
                <a:noFill/>
              </a:ln>
              <a:effectLst/>
            </c:spPr>
            <c:extLst>
              <c:ext xmlns:c16="http://schemas.microsoft.com/office/drawing/2014/chart" uri="{C3380CC4-5D6E-409C-BE32-E72D297353CC}">
                <c16:uniqueId val="{00000019-E211-4931-AA61-1F455DBEACB3}"/>
              </c:ext>
            </c:extLst>
          </c:dPt>
          <c:cat>
            <c:strRef>
              <c:f>PivotTable!$Q$86:$Q$98</c:f>
              <c:strCache>
                <c:ptCount val="13"/>
                <c:pt idx="0">
                  <c:v>Lebakharjo</c:v>
                </c:pt>
                <c:pt idx="1">
                  <c:v>Wirotaman</c:v>
                </c:pt>
                <c:pt idx="2">
                  <c:v>Tamanasri</c:v>
                </c:pt>
                <c:pt idx="3">
                  <c:v>Tirtomarto</c:v>
                </c:pt>
                <c:pt idx="4">
                  <c:v>Purwoharjo</c:v>
                </c:pt>
                <c:pt idx="5">
                  <c:v>Sidorenggo</c:v>
                </c:pt>
                <c:pt idx="6">
                  <c:v>Tirtomoyo</c:v>
                </c:pt>
                <c:pt idx="7">
                  <c:v>Argoyuwono</c:v>
                </c:pt>
                <c:pt idx="8">
                  <c:v>Mulyoasri</c:v>
                </c:pt>
                <c:pt idx="9">
                  <c:v>Tawangagung</c:v>
                </c:pt>
                <c:pt idx="10">
                  <c:v>Simojayan</c:v>
                </c:pt>
                <c:pt idx="11">
                  <c:v>Tamansari</c:v>
                </c:pt>
                <c:pt idx="12">
                  <c:v>Sonowangi</c:v>
                </c:pt>
              </c:strCache>
            </c:strRef>
          </c:cat>
          <c:val>
            <c:numRef>
              <c:f>PivotTable!$R$86:$R$98</c:f>
              <c:numCache>
                <c:formatCode>0%</c:formatCode>
                <c:ptCount val="13"/>
                <c:pt idx="0">
                  <c:v>5.6818181818181816E-2</c:v>
                </c:pt>
                <c:pt idx="1">
                  <c:v>7.9545454545454544E-2</c:v>
                </c:pt>
                <c:pt idx="2">
                  <c:v>6.8181818181818177E-2</c:v>
                </c:pt>
                <c:pt idx="3">
                  <c:v>9.0909090909090912E-2</c:v>
                </c:pt>
                <c:pt idx="4">
                  <c:v>7.9545454545454544E-2</c:v>
                </c:pt>
                <c:pt idx="5">
                  <c:v>6.8181818181818177E-2</c:v>
                </c:pt>
                <c:pt idx="6">
                  <c:v>0.10227272727272728</c:v>
                </c:pt>
                <c:pt idx="7">
                  <c:v>7.9545454545454544E-2</c:v>
                </c:pt>
                <c:pt idx="8">
                  <c:v>9.0909090909090912E-2</c:v>
                </c:pt>
                <c:pt idx="9">
                  <c:v>6.8181818181818177E-2</c:v>
                </c:pt>
                <c:pt idx="10">
                  <c:v>6.8181818181818177E-2</c:v>
                </c:pt>
                <c:pt idx="11">
                  <c:v>6.8181818181818177E-2</c:v>
                </c:pt>
                <c:pt idx="12">
                  <c:v>7.9545454545454544E-2</c:v>
                </c:pt>
              </c:numCache>
            </c:numRef>
          </c:val>
          <c:extLst>
            <c:ext xmlns:c16="http://schemas.microsoft.com/office/drawing/2014/chart" uri="{C3380CC4-5D6E-409C-BE32-E72D297353CC}">
              <c16:uniqueId val="{0000001A-E211-4931-AA61-1F455DBEACB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chemeClr val="tx1">
                    <a:lumMod val="65000"/>
                    <a:lumOff val="35000"/>
                  </a:schemeClr>
                </a:solidFill>
                <a:latin typeface="+mn-lt"/>
                <a:ea typeface="+mn-ea"/>
                <a:cs typeface="+mn-cs"/>
              </a:defRPr>
            </a:pPr>
            <a:r>
              <a:rPr lang="en-US" sz="700" b="1">
                <a:solidFill>
                  <a:schemeClr val="bg1"/>
                </a:solidFill>
              </a:rPr>
              <a:t>Grafik</a:t>
            </a:r>
            <a:r>
              <a:rPr lang="en-US" sz="700" b="1" baseline="0">
                <a:solidFill>
                  <a:schemeClr val="bg1"/>
                </a:solidFill>
              </a:rPr>
              <a:t> Layanan</a:t>
            </a:r>
            <a:endParaRPr lang="en-US" sz="700" b="1">
              <a:solidFill>
                <a:schemeClr val="bg1"/>
              </a:solidFill>
            </a:endParaRPr>
          </a:p>
        </c:rich>
      </c:tx>
      <c:overlay val="0"/>
      <c:spPr>
        <a:noFill/>
        <a:ln>
          <a:noFill/>
        </a:ln>
        <a:effectLst/>
      </c:spPr>
      <c:txPr>
        <a:bodyPr rot="0" spcFirstLastPara="1" vertOverflow="ellipsis" vert="horz" wrap="square" anchor="ctr" anchorCtr="1"/>
        <a:lstStyle/>
        <a:p>
          <a:pPr>
            <a:defRPr sz="7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PivotTableTambahan!$C$12</c:f>
              <c:strCache>
                <c:ptCount val="1"/>
                <c:pt idx="0">
                  <c:v>Persentase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cat>
            <c:numRef>
              <c:f>PivotTableTambahan!$B$13:$B$18</c:f>
              <c:numCache>
                <c:formatCode>General</c:formatCode>
                <c:ptCount val="6"/>
                <c:pt idx="0">
                  <c:v>2017</c:v>
                </c:pt>
                <c:pt idx="1">
                  <c:v>2018</c:v>
                </c:pt>
                <c:pt idx="2">
                  <c:v>2019</c:v>
                </c:pt>
                <c:pt idx="3">
                  <c:v>2020</c:v>
                </c:pt>
                <c:pt idx="4">
                  <c:v>2021</c:v>
                </c:pt>
                <c:pt idx="5">
                  <c:v>2022</c:v>
                </c:pt>
              </c:numCache>
            </c:numRef>
          </c:cat>
          <c:val>
            <c:numRef>
              <c:f>PivotTableTambahan!$C$13:$C$18</c:f>
              <c:numCache>
                <c:formatCode>0%</c:formatCode>
                <c:ptCount val="6"/>
                <c:pt idx="0">
                  <c:v>0.30541469000490756</c:v>
                </c:pt>
                <c:pt idx="1">
                  <c:v>0.32733518730574185</c:v>
                </c:pt>
                <c:pt idx="2">
                  <c:v>0.36348764927204319</c:v>
                </c:pt>
                <c:pt idx="3">
                  <c:v>1.4722722067724522E-3</c:v>
                </c:pt>
                <c:pt idx="4">
                  <c:v>2.2902012105349254E-3</c:v>
                </c:pt>
                <c:pt idx="5">
                  <c:v>0</c:v>
                </c:pt>
              </c:numCache>
            </c:numRef>
          </c:val>
          <c:smooth val="0"/>
          <c:extLst>
            <c:ext xmlns:c16="http://schemas.microsoft.com/office/drawing/2014/chart" uri="{C3380CC4-5D6E-409C-BE32-E72D297353CC}">
              <c16:uniqueId val="{00000000-5C32-40B7-930B-EF3922FCA779}"/>
            </c:ext>
          </c:extLst>
        </c:ser>
        <c:dLbls>
          <c:showLegendKey val="0"/>
          <c:showVal val="0"/>
          <c:showCatName val="0"/>
          <c:showSerName val="0"/>
          <c:showPercent val="0"/>
          <c:showBubbleSize val="0"/>
        </c:dLbls>
        <c:marker val="1"/>
        <c:smooth val="0"/>
        <c:axId val="959642047"/>
        <c:axId val="959640383"/>
      </c:lineChart>
      <c:catAx>
        <c:axId val="95964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500" b="0" i="0" u="none" strike="noStrike" kern="1200" baseline="0">
                <a:solidFill>
                  <a:schemeClr val="bg1"/>
                </a:solidFill>
                <a:latin typeface="+mn-lt"/>
                <a:ea typeface="+mn-ea"/>
                <a:cs typeface="+mn-cs"/>
              </a:defRPr>
            </a:pPr>
            <a:endParaRPr lang="en-US"/>
          </a:p>
        </c:txPr>
        <c:crossAx val="959640383"/>
        <c:crosses val="autoZero"/>
        <c:auto val="1"/>
        <c:lblAlgn val="ctr"/>
        <c:lblOffset val="100"/>
        <c:noMultiLvlLbl val="0"/>
      </c:catAx>
      <c:valAx>
        <c:axId val="959640383"/>
        <c:scaling>
          <c:orientation val="minMax"/>
        </c:scaling>
        <c:delete val="1"/>
        <c:axPos val="l"/>
        <c:numFmt formatCode="0%" sourceLinked="1"/>
        <c:majorTickMark val="none"/>
        <c:minorTickMark val="none"/>
        <c:tickLblPos val="nextTo"/>
        <c:crossAx val="959642047"/>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348524465474072E-2"/>
          <c:y val="5.9102147026939118E-2"/>
          <c:w val="0.95130295106905183"/>
          <c:h val="0.38930508317653589"/>
        </c:manualLayout>
      </c:layout>
      <c:lineChart>
        <c:grouping val="standard"/>
        <c:varyColors val="0"/>
        <c:ser>
          <c:idx val="0"/>
          <c:order val="0"/>
          <c:tx>
            <c:strRef>
              <c:f>PivotTableTambahan!$C$24</c:f>
              <c:strCache>
                <c:ptCount val="1"/>
                <c:pt idx="0">
                  <c:v>Surat Permohonan KTP</c:v>
                </c:pt>
              </c:strCache>
            </c:strRef>
          </c:tx>
          <c:spPr>
            <a:ln w="22225" cap="rnd">
              <a:solidFill>
                <a:schemeClr val="accent1"/>
              </a:solidFill>
            </a:ln>
            <a:effectLst>
              <a:glow rad="139700">
                <a:schemeClr val="accent1">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PivotTableTambahan!$C$25:$C$30</c:f>
              <c:numCache>
                <c:formatCode>0%</c:formatCode>
                <c:ptCount val="6"/>
                <c:pt idx="0">
                  <c:v>0.45509739438401214</c:v>
                </c:pt>
                <c:pt idx="1">
                  <c:v>0.25170756387553755</c:v>
                </c:pt>
                <c:pt idx="2">
                  <c:v>0.2931950417404503</c:v>
                </c:pt>
                <c:pt idx="3">
                  <c:v>0</c:v>
                </c:pt>
                <c:pt idx="4">
                  <c:v>0</c:v>
                </c:pt>
                <c:pt idx="5">
                  <c:v>0</c:v>
                </c:pt>
              </c:numCache>
            </c:numRef>
          </c:val>
          <c:smooth val="0"/>
          <c:extLst>
            <c:ext xmlns:c16="http://schemas.microsoft.com/office/drawing/2014/chart" uri="{C3380CC4-5D6E-409C-BE32-E72D297353CC}">
              <c16:uniqueId val="{00000000-BEE1-49C6-B1AF-EFB8BEB6C7FC}"/>
            </c:ext>
          </c:extLst>
        </c:ser>
        <c:ser>
          <c:idx val="1"/>
          <c:order val="1"/>
          <c:tx>
            <c:strRef>
              <c:f>PivotTableTambahan!$D$24</c:f>
              <c:strCache>
                <c:ptCount val="1"/>
                <c:pt idx="0">
                  <c:v>Surat Permohonan KK</c:v>
                </c:pt>
              </c:strCache>
            </c:strRef>
          </c:tx>
          <c:spPr>
            <a:ln w="22225" cap="rnd">
              <a:solidFill>
                <a:schemeClr val="accent2"/>
              </a:solidFill>
            </a:ln>
            <a:effectLst>
              <a:glow rad="139700">
                <a:schemeClr val="accent2">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PivotTableTambahan!$D$25:$D$30</c:f>
              <c:numCache>
                <c:formatCode>0%</c:formatCode>
                <c:ptCount val="6"/>
                <c:pt idx="0">
                  <c:v>0</c:v>
                </c:pt>
                <c:pt idx="1">
                  <c:v>0.48593350383631712</c:v>
                </c:pt>
                <c:pt idx="2">
                  <c:v>0.51406649616368283</c:v>
                </c:pt>
                <c:pt idx="3">
                  <c:v>0</c:v>
                </c:pt>
                <c:pt idx="4">
                  <c:v>0</c:v>
                </c:pt>
                <c:pt idx="5">
                  <c:v>0</c:v>
                </c:pt>
              </c:numCache>
            </c:numRef>
          </c:val>
          <c:smooth val="0"/>
          <c:extLst>
            <c:ext xmlns:c16="http://schemas.microsoft.com/office/drawing/2014/chart" uri="{C3380CC4-5D6E-409C-BE32-E72D297353CC}">
              <c16:uniqueId val="{00000001-BEE1-49C6-B1AF-EFB8BEB6C7FC}"/>
            </c:ext>
          </c:extLst>
        </c:ser>
        <c:ser>
          <c:idx val="2"/>
          <c:order val="2"/>
          <c:tx>
            <c:strRef>
              <c:f>PivotTableTambahan!$E$24</c:f>
              <c:strCache>
                <c:ptCount val="1"/>
                <c:pt idx="0">
                  <c:v>Surat IMB</c:v>
                </c:pt>
              </c:strCache>
            </c:strRef>
          </c:tx>
          <c:spPr>
            <a:ln w="22225" cap="rnd">
              <a:solidFill>
                <a:schemeClr val="accent3"/>
              </a:solidFill>
            </a:ln>
            <a:effectLst>
              <a:glow rad="139700">
                <a:schemeClr val="accent3">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PivotTableTambahan!$E$25:$E$30</c:f>
              <c:numCache>
                <c:formatCode>0%</c:formatCode>
                <c:ptCount val="6"/>
                <c:pt idx="0">
                  <c:v>0.66666666666666663</c:v>
                </c:pt>
                <c:pt idx="1">
                  <c:v>0.33333333333333331</c:v>
                </c:pt>
                <c:pt idx="2">
                  <c:v>0</c:v>
                </c:pt>
                <c:pt idx="3">
                  <c:v>0</c:v>
                </c:pt>
                <c:pt idx="4">
                  <c:v>0</c:v>
                </c:pt>
                <c:pt idx="5">
                  <c:v>0</c:v>
                </c:pt>
              </c:numCache>
            </c:numRef>
          </c:val>
          <c:smooth val="0"/>
          <c:extLst>
            <c:ext xmlns:c16="http://schemas.microsoft.com/office/drawing/2014/chart" uri="{C3380CC4-5D6E-409C-BE32-E72D297353CC}">
              <c16:uniqueId val="{00000002-BEE1-49C6-B1AF-EFB8BEB6C7FC}"/>
            </c:ext>
          </c:extLst>
        </c:ser>
        <c:ser>
          <c:idx val="3"/>
          <c:order val="3"/>
          <c:tx>
            <c:strRef>
              <c:f>PivotTableTambahan!$F$24</c:f>
              <c:strCache>
                <c:ptCount val="1"/>
                <c:pt idx="0">
                  <c:v>Surat Ijin Keramaian</c:v>
                </c:pt>
              </c:strCache>
            </c:strRef>
          </c:tx>
          <c:spPr>
            <a:ln w="22225" cap="rnd">
              <a:solidFill>
                <a:schemeClr val="accent4"/>
              </a:solidFill>
            </a:ln>
            <a:effectLst>
              <a:glow rad="139700">
                <a:schemeClr val="accent4">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PivotTableTambahan!$F$25:$F$30</c:f>
              <c:numCache>
                <c:formatCode>0%</c:formatCode>
                <c:ptCount val="6"/>
                <c:pt idx="0">
                  <c:v>0.39436619718309857</c:v>
                </c:pt>
                <c:pt idx="1">
                  <c:v>0.323943661971831</c:v>
                </c:pt>
                <c:pt idx="2">
                  <c:v>0.28169014084507044</c:v>
                </c:pt>
                <c:pt idx="3">
                  <c:v>0</c:v>
                </c:pt>
                <c:pt idx="4">
                  <c:v>0</c:v>
                </c:pt>
                <c:pt idx="5">
                  <c:v>0</c:v>
                </c:pt>
              </c:numCache>
            </c:numRef>
          </c:val>
          <c:smooth val="0"/>
          <c:extLst>
            <c:ext xmlns:c16="http://schemas.microsoft.com/office/drawing/2014/chart" uri="{C3380CC4-5D6E-409C-BE32-E72D297353CC}">
              <c16:uniqueId val="{00000003-BEE1-49C6-B1AF-EFB8BEB6C7FC}"/>
            </c:ext>
          </c:extLst>
        </c:ser>
        <c:ser>
          <c:idx val="4"/>
          <c:order val="4"/>
          <c:tx>
            <c:strRef>
              <c:f>PivotTableTambahan!$G$24</c:f>
              <c:strCache>
                <c:ptCount val="1"/>
                <c:pt idx="0">
                  <c:v>Surat Ijin Penerbitan Sekolah Swasta</c:v>
                </c:pt>
              </c:strCache>
            </c:strRef>
          </c:tx>
          <c:spPr>
            <a:ln w="22225" cap="rnd">
              <a:solidFill>
                <a:schemeClr val="accent5"/>
              </a:solidFill>
            </a:ln>
            <a:effectLst>
              <a:glow rad="139700">
                <a:schemeClr val="accent5">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PivotTableTambahan!$G$25:$G$30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BEE1-49C6-B1AF-EFB8BEB6C7FC}"/>
            </c:ext>
          </c:extLst>
        </c:ser>
        <c:ser>
          <c:idx val="5"/>
          <c:order val="5"/>
          <c:tx>
            <c:strRef>
              <c:f>PivotTableTambahan!$H$24</c:f>
              <c:strCache>
                <c:ptCount val="1"/>
                <c:pt idx="0">
                  <c:v>Surat Ijin Usaha Peternakan &lt;5000ekor</c:v>
                </c:pt>
              </c:strCache>
            </c:strRef>
          </c:tx>
          <c:spPr>
            <a:ln w="22225" cap="rnd">
              <a:solidFill>
                <a:schemeClr val="accent6"/>
              </a:solidFill>
            </a:ln>
            <a:effectLst>
              <a:glow rad="139700">
                <a:schemeClr val="accent6">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PivotTableTambahan!$H$25:$H$30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5-BEE1-49C6-B1AF-EFB8BEB6C7FC}"/>
            </c:ext>
          </c:extLst>
        </c:ser>
        <c:ser>
          <c:idx val="6"/>
          <c:order val="6"/>
          <c:tx>
            <c:strRef>
              <c:f>PivotTableTambahan!$I$24</c:f>
              <c:strCache>
                <c:ptCount val="1"/>
                <c:pt idx="0">
                  <c:v>Surat Rekomendasi Ijin Lokasi Pembuangan Akhir Sampah</c:v>
                </c:pt>
              </c:strCache>
            </c:strRef>
          </c:tx>
          <c:spPr>
            <a:ln w="22225" cap="rnd">
              <a:solidFill>
                <a:schemeClr val="accent1">
                  <a:lumMod val="60000"/>
                </a:schemeClr>
              </a:solidFill>
            </a:ln>
            <a:effectLst>
              <a:glow rad="139700">
                <a:schemeClr val="accent1">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PivotTableTambahan!$I$25:$I$30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6-BEE1-49C6-B1AF-EFB8BEB6C7FC}"/>
            </c:ext>
          </c:extLst>
        </c:ser>
        <c:ser>
          <c:idx val="7"/>
          <c:order val="7"/>
          <c:tx>
            <c:strRef>
              <c:f>PivotTableTambahan!$J$24</c:f>
              <c:strCache>
                <c:ptCount val="1"/>
                <c:pt idx="0">
                  <c:v>Surat Rekomendasi Ijin Lokasi Pertanian, Peternakan, Perikanan</c:v>
                </c:pt>
              </c:strCache>
            </c:strRef>
          </c:tx>
          <c:spPr>
            <a:ln w="22225" cap="rnd">
              <a:solidFill>
                <a:schemeClr val="accent2">
                  <a:lumMod val="60000"/>
                </a:schemeClr>
              </a:solidFill>
            </a:ln>
            <a:effectLst>
              <a:glow rad="139700">
                <a:schemeClr val="accent2">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PivotTableTambahan!$J$25:$J$30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7-BEE1-49C6-B1AF-EFB8BEB6C7FC}"/>
            </c:ext>
          </c:extLst>
        </c:ser>
        <c:ser>
          <c:idx val="8"/>
          <c:order val="8"/>
          <c:tx>
            <c:strRef>
              <c:f>PivotTableTambahan!$K$24</c:f>
              <c:strCache>
                <c:ptCount val="1"/>
                <c:pt idx="0">
                  <c:v>Surat Rekomendasi Ijin Pemanfaatan Lahan</c:v>
                </c:pt>
              </c:strCache>
            </c:strRef>
          </c:tx>
          <c:spPr>
            <a:ln w="22225" cap="rnd">
              <a:solidFill>
                <a:schemeClr val="accent3">
                  <a:lumMod val="60000"/>
                </a:schemeClr>
              </a:solidFill>
            </a:ln>
            <a:effectLst>
              <a:glow rad="139700">
                <a:schemeClr val="accent3">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PivotTableTambahan!$K$25:$K$30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8-BEE1-49C6-B1AF-EFB8BEB6C7FC}"/>
            </c:ext>
          </c:extLst>
        </c:ser>
        <c:ser>
          <c:idx val="9"/>
          <c:order val="9"/>
          <c:tx>
            <c:strRef>
              <c:f>PivotTableTambahan!$L$24</c:f>
              <c:strCache>
                <c:ptCount val="1"/>
                <c:pt idx="0">
                  <c:v>Surat Ijin usaha mikro</c:v>
                </c:pt>
              </c:strCache>
            </c:strRef>
          </c:tx>
          <c:spPr>
            <a:ln w="22225" cap="rnd">
              <a:solidFill>
                <a:schemeClr val="accent4">
                  <a:lumMod val="60000"/>
                </a:schemeClr>
              </a:solidFill>
            </a:ln>
            <a:effectLst>
              <a:glow rad="139700">
                <a:schemeClr val="accent4">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PivotTableTambahan!$L$25:$L$30</c:f>
              <c:numCache>
                <c:formatCode>0%</c:formatCode>
                <c:ptCount val="6"/>
                <c:pt idx="0">
                  <c:v>0.16666666666666666</c:v>
                </c:pt>
                <c:pt idx="1">
                  <c:v>0.15</c:v>
                </c:pt>
                <c:pt idx="2">
                  <c:v>0.3</c:v>
                </c:pt>
                <c:pt idx="3">
                  <c:v>0.15</c:v>
                </c:pt>
                <c:pt idx="4">
                  <c:v>0.23333333333333334</c:v>
                </c:pt>
                <c:pt idx="5">
                  <c:v>0</c:v>
                </c:pt>
              </c:numCache>
            </c:numRef>
          </c:val>
          <c:smooth val="0"/>
          <c:extLst>
            <c:ext xmlns:c16="http://schemas.microsoft.com/office/drawing/2014/chart" uri="{C3380CC4-5D6E-409C-BE32-E72D297353CC}">
              <c16:uniqueId val="{00000009-BEE1-49C6-B1AF-EFB8BEB6C7FC}"/>
            </c:ext>
          </c:extLst>
        </c:ser>
        <c:ser>
          <c:idx val="10"/>
          <c:order val="10"/>
          <c:tx>
            <c:strRef>
              <c:f>PivotTableTambahan!$M$24</c:f>
              <c:strCache>
                <c:ptCount val="1"/>
                <c:pt idx="0">
                  <c:v>Surat ijin pemotongan hewan</c:v>
                </c:pt>
              </c:strCache>
            </c:strRef>
          </c:tx>
          <c:spPr>
            <a:ln w="22225" cap="rnd">
              <a:solidFill>
                <a:schemeClr val="accent5">
                  <a:lumMod val="60000"/>
                </a:schemeClr>
              </a:solidFill>
            </a:ln>
            <a:effectLst>
              <a:glow rad="139700">
                <a:schemeClr val="accent5">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PivotTableTambahan!$M$25:$M$30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A-BEE1-49C6-B1AF-EFB8BEB6C7FC}"/>
            </c:ext>
          </c:extLst>
        </c:ser>
        <c:ser>
          <c:idx val="11"/>
          <c:order val="11"/>
          <c:tx>
            <c:strRef>
              <c:f>PivotTableTambahan!$N$24</c:f>
              <c:strCache>
                <c:ptCount val="1"/>
                <c:pt idx="0">
                  <c:v>Surat rekomendasi ijin perkemahan</c:v>
                </c:pt>
              </c:strCache>
            </c:strRef>
          </c:tx>
          <c:spPr>
            <a:ln w="22225" cap="rnd">
              <a:solidFill>
                <a:schemeClr val="accent6">
                  <a:lumMod val="60000"/>
                </a:schemeClr>
              </a:solidFill>
            </a:ln>
            <a:effectLst>
              <a:glow rad="139700">
                <a:schemeClr val="accent6">
                  <a:lumMod val="60000"/>
                  <a:satMod val="175000"/>
                  <a:alpha val="14000"/>
                </a:schemeClr>
              </a:glow>
            </a:effectLst>
          </c:spPr>
          <c:marker>
            <c:symbol val="none"/>
          </c:marker>
          <c:cat>
            <c:numRef>
              <c:f>PivotTableTambahan!$B$25:$B$30</c:f>
              <c:numCache>
                <c:formatCode>General</c:formatCode>
                <c:ptCount val="6"/>
                <c:pt idx="0">
                  <c:v>2017</c:v>
                </c:pt>
                <c:pt idx="1">
                  <c:v>2018</c:v>
                </c:pt>
                <c:pt idx="2">
                  <c:v>2019</c:v>
                </c:pt>
                <c:pt idx="3">
                  <c:v>2020</c:v>
                </c:pt>
                <c:pt idx="4">
                  <c:v>2021</c:v>
                </c:pt>
                <c:pt idx="5">
                  <c:v>2022</c:v>
                </c:pt>
              </c:numCache>
            </c:numRef>
          </c:cat>
          <c:val>
            <c:numRef>
              <c:f>PivotTableTambahan!$N$25:$N$30</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B-BEE1-49C6-B1AF-EFB8BEB6C7FC}"/>
            </c:ext>
          </c:extLst>
        </c:ser>
        <c:dLbls>
          <c:showLegendKey val="0"/>
          <c:showVal val="0"/>
          <c:showCatName val="0"/>
          <c:showSerName val="0"/>
          <c:showPercent val="0"/>
          <c:showBubbleSize val="0"/>
        </c:dLbls>
        <c:smooth val="0"/>
        <c:axId val="958691135"/>
        <c:axId val="958691967"/>
      </c:lineChart>
      <c:catAx>
        <c:axId val="95869113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958691967"/>
        <c:crosses val="autoZero"/>
        <c:auto val="1"/>
        <c:lblAlgn val="ctr"/>
        <c:lblOffset val="100"/>
        <c:noMultiLvlLbl val="0"/>
      </c:catAx>
      <c:valAx>
        <c:axId val="958691967"/>
        <c:scaling>
          <c:orientation val="minMax"/>
        </c:scaling>
        <c:delete val="1"/>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crossAx val="958691135"/>
        <c:crosses val="autoZero"/>
        <c:crossBetween val="between"/>
      </c:valAx>
      <c:spPr>
        <a:noFill/>
        <a:ln>
          <a:noFill/>
        </a:ln>
        <a:effectLst/>
      </c:spPr>
    </c:plotArea>
    <c:legend>
      <c:legendPos val="t"/>
      <c:layout>
        <c:manualLayout>
          <c:xMode val="edge"/>
          <c:yMode val="edge"/>
          <c:x val="1.0091478643886567E-3"/>
          <c:y val="0.53814060187686674"/>
          <c:w val="0.74564227642843228"/>
          <c:h val="0.445214293657087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image" Target="../media/image2.emf"/><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180975</xdr:rowOff>
    </xdr:from>
    <xdr:to>
      <xdr:col>2</xdr:col>
      <xdr:colOff>590550</xdr:colOff>
      <xdr:row>7</xdr:row>
      <xdr:rowOff>161925</xdr:rowOff>
    </xdr:to>
    <xdr:sp macro="" textlink="PivotTable!B3">
      <xdr:nvSpPr>
        <xdr:cNvPr id="3" name="Rectangle 2">
          <a:extLst>
            <a:ext uri="{FF2B5EF4-FFF2-40B4-BE49-F238E27FC236}">
              <a16:creationId xmlns:a16="http://schemas.microsoft.com/office/drawing/2014/main" id="{442F225F-9B4B-4DDD-A309-658027963CCE}"/>
            </a:ext>
          </a:extLst>
        </xdr:cNvPr>
        <xdr:cNvSpPr/>
      </xdr:nvSpPr>
      <xdr:spPr>
        <a:xfrm>
          <a:off x="0" y="942975"/>
          <a:ext cx="1809750" cy="5524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7F601A3-B572-4D61-8B2A-8A6FD8133DBD}" type="TxLink">
            <a:rPr lang="en-US" sz="1100" b="0" i="0" u="none" strike="noStrike">
              <a:solidFill>
                <a:schemeClr val="bg1"/>
              </a:solidFill>
              <a:latin typeface="Bodoni Bd BT" panose="02070803080706020303" pitchFamily="18" charset="0"/>
              <a:cs typeface="Calibri"/>
            </a:rPr>
            <a:pPr algn="ctr"/>
            <a:t>15022,77</a:t>
          </a:fld>
          <a:endParaRPr lang="en-ID" sz="700">
            <a:solidFill>
              <a:schemeClr val="bg1"/>
            </a:solidFill>
            <a:latin typeface="Bodoni Bd BT" panose="02070803080706020303" pitchFamily="18" charset="0"/>
          </a:endParaRPr>
        </a:p>
      </xdr:txBody>
    </xdr:sp>
    <xdr:clientData/>
  </xdr:twoCellAnchor>
  <xdr:oneCellAnchor>
    <xdr:from>
      <xdr:col>0</xdr:col>
      <xdr:colOff>342901</xdr:colOff>
      <xdr:row>5</xdr:row>
      <xdr:rowOff>4431</xdr:rowOff>
    </xdr:from>
    <xdr:ext cx="1426482" cy="326785"/>
    <xdr:sp macro="" textlink="">
      <xdr:nvSpPr>
        <xdr:cNvPr id="4" name="TextBox 3">
          <a:extLst>
            <a:ext uri="{FF2B5EF4-FFF2-40B4-BE49-F238E27FC236}">
              <a16:creationId xmlns:a16="http://schemas.microsoft.com/office/drawing/2014/main" id="{DC96C1F5-DFE2-4BB7-A4D9-73AD754375E1}"/>
            </a:ext>
          </a:extLst>
        </xdr:cNvPr>
        <xdr:cNvSpPr txBox="1"/>
      </xdr:nvSpPr>
      <xdr:spPr>
        <a:xfrm>
          <a:off x="342901" y="956931"/>
          <a:ext cx="1426482" cy="3267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D" sz="1400" b="0" cap="none" spc="0">
              <a:ln w="0"/>
              <a:solidFill>
                <a:srgbClr val="FFC000"/>
              </a:solidFill>
              <a:effectLst>
                <a:reflection blurRad="6350" stA="53000" endA="300" endPos="35500" dir="5400000" sy="-90000" algn="bl" rotWithShape="0"/>
              </a:effectLst>
              <a:latin typeface="Bodoni Bd BT" panose="02070803080706020303" pitchFamily="18" charset="0"/>
            </a:rPr>
            <a:t>Luas Wilayah</a:t>
          </a:r>
        </a:p>
      </xdr:txBody>
    </xdr:sp>
    <xdr:clientData/>
  </xdr:oneCellAnchor>
  <xdr:oneCellAnchor>
    <xdr:from>
      <xdr:col>1</xdr:col>
      <xdr:colOff>504825</xdr:colOff>
      <xdr:row>6</xdr:row>
      <xdr:rowOff>70412</xdr:rowOff>
    </xdr:from>
    <xdr:ext cx="470354" cy="313445"/>
    <xdr:sp macro="" textlink="">
      <xdr:nvSpPr>
        <xdr:cNvPr id="5" name="TextBox 4">
          <a:extLst>
            <a:ext uri="{FF2B5EF4-FFF2-40B4-BE49-F238E27FC236}">
              <a16:creationId xmlns:a16="http://schemas.microsoft.com/office/drawing/2014/main" id="{B2BF48F5-0D58-4C2C-AA68-36D2D19694E3}"/>
            </a:ext>
          </a:extLst>
        </xdr:cNvPr>
        <xdr:cNvSpPr txBox="1"/>
      </xdr:nvSpPr>
      <xdr:spPr>
        <a:xfrm>
          <a:off x="1114425" y="1213412"/>
          <a:ext cx="470354" cy="3134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D" sz="1100" b="0" cap="none" spc="0">
              <a:ln w="0"/>
              <a:solidFill>
                <a:schemeClr val="bg1"/>
              </a:solidFill>
              <a:effectLst>
                <a:outerShdw blurRad="38100" dist="19050" dir="2700000" algn="tl" rotWithShape="0">
                  <a:schemeClr val="dk1">
                    <a:alpha val="40000"/>
                  </a:schemeClr>
                </a:outerShdw>
              </a:effectLst>
              <a:latin typeface="Bodoni Bd BT" panose="02070803080706020303" pitchFamily="18" charset="0"/>
            </a:rPr>
            <a:t>Ha</a:t>
          </a:r>
        </a:p>
      </xdr:txBody>
    </xdr:sp>
    <xdr:clientData/>
  </xdr:oneCellAnchor>
  <xdr:twoCellAnchor editAs="oneCell">
    <xdr:from>
      <xdr:col>0</xdr:col>
      <xdr:colOff>228600</xdr:colOff>
      <xdr:row>5</xdr:row>
      <xdr:rowOff>76200</xdr:rowOff>
    </xdr:from>
    <xdr:to>
      <xdr:col>0</xdr:col>
      <xdr:colOff>433159</xdr:colOff>
      <xdr:row>6</xdr:row>
      <xdr:rowOff>143622</xdr:rowOff>
    </xdr:to>
    <xdr:pic>
      <xdr:nvPicPr>
        <xdr:cNvPr id="6" name="Picture 5">
          <a:extLst>
            <a:ext uri="{FF2B5EF4-FFF2-40B4-BE49-F238E27FC236}">
              <a16:creationId xmlns:a16="http://schemas.microsoft.com/office/drawing/2014/main" id="{CC6A6977-72D9-4879-B1FE-8DE3C1E64649}"/>
            </a:ext>
          </a:extLst>
        </xdr:cNvPr>
        <xdr:cNvPicPr>
          <a:picLocks noChangeAspect="1"/>
        </xdr:cNvPicPr>
      </xdr:nvPicPr>
      <xdr:blipFill>
        <a:blip xmlns:r="http://schemas.openxmlformats.org/officeDocument/2006/relationships" r:embed="rId1">
          <a:duotone>
            <a:schemeClr val="bg2">
              <a:shade val="45000"/>
              <a:satMod val="135000"/>
            </a:schemeClr>
            <a:prstClr val="white"/>
          </a:duotone>
          <a:extLst>
            <a:ext uri="{BEBA8EAE-BF5A-486C-A8C5-ECC9F3942E4B}">
              <a14:imgProps xmlns:a14="http://schemas.microsoft.com/office/drawing/2010/main">
                <a14:imgLayer r:embed="rId2">
                  <a14:imgEffect>
                    <a14:colorTemperature colorTemp="1500"/>
                  </a14:imgEffect>
                  <a14:imgEffect>
                    <a14:saturation sat="400000"/>
                  </a14:imgEffect>
                </a14:imgLayer>
              </a14:imgProps>
            </a:ext>
          </a:extLst>
        </a:blip>
        <a:stretch>
          <a:fillRect/>
        </a:stretch>
      </xdr:blipFill>
      <xdr:spPr>
        <a:xfrm>
          <a:off x="228600" y="1028700"/>
          <a:ext cx="204559" cy="257922"/>
        </a:xfrm>
        <a:prstGeom prst="rect">
          <a:avLst/>
        </a:prstGeom>
        <a:ln>
          <a:noFill/>
        </a:ln>
        <a:effectLst>
          <a:outerShdw blurRad="50800" dist="50800" dir="5400000" algn="ctr" rotWithShape="0">
            <a:srgbClr val="191D43"/>
          </a:outerShdw>
          <a:reflection endPos="65000" dist="50800" dir="5400000" sy="-100000" algn="bl" rotWithShape="0"/>
        </a:effectLst>
      </xdr:spPr>
    </xdr:pic>
    <xdr:clientData/>
  </xdr:twoCellAnchor>
  <xdr:twoCellAnchor>
    <xdr:from>
      <xdr:col>3</xdr:col>
      <xdr:colOff>47626</xdr:colOff>
      <xdr:row>0</xdr:row>
      <xdr:rowOff>66676</xdr:rowOff>
    </xdr:from>
    <xdr:to>
      <xdr:col>7</xdr:col>
      <xdr:colOff>47626</xdr:colOff>
      <xdr:row>12</xdr:row>
      <xdr:rowOff>66676</xdr:rowOff>
    </xdr:to>
    <xdr:sp macro="" textlink="">
      <xdr:nvSpPr>
        <xdr:cNvPr id="12" name="Rectangle 11">
          <a:extLst>
            <a:ext uri="{FF2B5EF4-FFF2-40B4-BE49-F238E27FC236}">
              <a16:creationId xmlns:a16="http://schemas.microsoft.com/office/drawing/2014/main" id="{94F44A4F-F0C7-43BB-89B8-3939031473F8}"/>
            </a:ext>
          </a:extLst>
        </xdr:cNvPr>
        <xdr:cNvSpPr/>
      </xdr:nvSpPr>
      <xdr:spPr>
        <a:xfrm>
          <a:off x="1876426" y="66676"/>
          <a:ext cx="2438400" cy="228600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5</xdr:col>
      <xdr:colOff>219075</xdr:colOff>
      <xdr:row>10</xdr:row>
      <xdr:rowOff>84023</xdr:rowOff>
    </xdr:from>
    <xdr:ext cx="761999" cy="217560"/>
    <xdr:sp macro="" textlink="">
      <xdr:nvSpPr>
        <xdr:cNvPr id="13" name="TextBox 12">
          <a:extLst>
            <a:ext uri="{FF2B5EF4-FFF2-40B4-BE49-F238E27FC236}">
              <a16:creationId xmlns:a16="http://schemas.microsoft.com/office/drawing/2014/main" id="{AF3841E5-6F5D-4E77-846A-C38351C716B6}"/>
            </a:ext>
          </a:extLst>
        </xdr:cNvPr>
        <xdr:cNvSpPr txBox="1"/>
      </xdr:nvSpPr>
      <xdr:spPr>
        <a:xfrm rot="18976146">
          <a:off x="3267075" y="1989023"/>
          <a:ext cx="761999"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baseline="0">
              <a:ln w="0"/>
              <a:solidFill>
                <a:schemeClr val="bg2">
                  <a:lumMod val="75000"/>
                </a:schemeClr>
              </a:solidFill>
              <a:effectLst/>
              <a:latin typeface="+mj-lt"/>
            </a:rPr>
            <a:t>Kebersihan</a:t>
          </a:r>
          <a:endParaRPr lang="en-ID" sz="800" b="0" cap="none" spc="0">
            <a:ln w="0"/>
            <a:solidFill>
              <a:schemeClr val="bg2">
                <a:lumMod val="75000"/>
              </a:schemeClr>
            </a:solidFill>
            <a:effectLst/>
            <a:latin typeface="+mj-lt"/>
          </a:endParaRPr>
        </a:p>
      </xdr:txBody>
    </xdr:sp>
    <xdr:clientData/>
  </xdr:oneCellAnchor>
  <xdr:oneCellAnchor>
    <xdr:from>
      <xdr:col>4</xdr:col>
      <xdr:colOff>295275</xdr:colOff>
      <xdr:row>8</xdr:row>
      <xdr:rowOff>74498</xdr:rowOff>
    </xdr:from>
    <xdr:ext cx="1885950" cy="217560"/>
    <xdr:sp macro="" textlink="">
      <xdr:nvSpPr>
        <xdr:cNvPr id="14" name="TextBox 13">
          <a:extLst>
            <a:ext uri="{FF2B5EF4-FFF2-40B4-BE49-F238E27FC236}">
              <a16:creationId xmlns:a16="http://schemas.microsoft.com/office/drawing/2014/main" id="{CC341206-C23F-4611-9CF3-25DF9B2F79DB}"/>
            </a:ext>
          </a:extLst>
        </xdr:cNvPr>
        <xdr:cNvSpPr txBox="1"/>
      </xdr:nvSpPr>
      <xdr:spPr>
        <a:xfrm rot="19184096">
          <a:off x="2733675" y="1598498"/>
          <a:ext cx="188595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baseline="0">
              <a:ln w="0"/>
              <a:solidFill>
                <a:schemeClr val="bg2">
                  <a:lumMod val="75000"/>
                </a:schemeClr>
              </a:solidFill>
              <a:effectLst/>
              <a:latin typeface="+mj-lt"/>
            </a:rPr>
            <a:t>Kesenian</a:t>
          </a:r>
          <a:endParaRPr lang="en-ID" sz="800" b="0" cap="none" spc="0">
            <a:ln w="0"/>
            <a:solidFill>
              <a:schemeClr val="bg2">
                <a:lumMod val="75000"/>
              </a:schemeClr>
            </a:solidFill>
            <a:effectLst/>
            <a:latin typeface="+mj-lt"/>
          </a:endParaRPr>
        </a:p>
      </xdr:txBody>
    </xdr:sp>
    <xdr:clientData/>
  </xdr:oneCellAnchor>
  <xdr:oneCellAnchor>
    <xdr:from>
      <xdr:col>3</xdr:col>
      <xdr:colOff>114302</xdr:colOff>
      <xdr:row>8</xdr:row>
      <xdr:rowOff>84023</xdr:rowOff>
    </xdr:from>
    <xdr:ext cx="1885950" cy="217560"/>
    <xdr:sp macro="" textlink="">
      <xdr:nvSpPr>
        <xdr:cNvPr id="15" name="TextBox 14">
          <a:extLst>
            <a:ext uri="{FF2B5EF4-FFF2-40B4-BE49-F238E27FC236}">
              <a16:creationId xmlns:a16="http://schemas.microsoft.com/office/drawing/2014/main" id="{406A003F-1988-4237-AADE-6802188DBFB6}"/>
            </a:ext>
          </a:extLst>
        </xdr:cNvPr>
        <xdr:cNvSpPr txBox="1"/>
      </xdr:nvSpPr>
      <xdr:spPr>
        <a:xfrm rot="19209848">
          <a:off x="1943102" y="1608023"/>
          <a:ext cx="188595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baseline="0">
              <a:ln w="0"/>
              <a:solidFill>
                <a:schemeClr val="bg2">
                  <a:lumMod val="75000"/>
                </a:schemeClr>
              </a:solidFill>
              <a:effectLst/>
              <a:latin typeface="+mj-lt"/>
            </a:rPr>
            <a:t>Olahraga</a:t>
          </a:r>
          <a:endParaRPr lang="en-ID" sz="800" b="0" cap="none" spc="0">
            <a:ln w="0"/>
            <a:solidFill>
              <a:schemeClr val="bg2">
                <a:lumMod val="75000"/>
              </a:schemeClr>
            </a:solidFill>
            <a:effectLst/>
            <a:latin typeface="+mj-lt"/>
          </a:endParaRPr>
        </a:p>
      </xdr:txBody>
    </xdr:sp>
    <xdr:clientData/>
  </xdr:oneCellAnchor>
  <xdr:oneCellAnchor>
    <xdr:from>
      <xdr:col>3</xdr:col>
      <xdr:colOff>457199</xdr:colOff>
      <xdr:row>8</xdr:row>
      <xdr:rowOff>84025</xdr:rowOff>
    </xdr:from>
    <xdr:ext cx="1885950" cy="217560"/>
    <xdr:sp macro="" textlink="">
      <xdr:nvSpPr>
        <xdr:cNvPr id="16" name="TextBox 15">
          <a:extLst>
            <a:ext uri="{FF2B5EF4-FFF2-40B4-BE49-F238E27FC236}">
              <a16:creationId xmlns:a16="http://schemas.microsoft.com/office/drawing/2014/main" id="{38B69BE7-98E3-4950-8B93-ACE435AAA6B4}"/>
            </a:ext>
          </a:extLst>
        </xdr:cNvPr>
        <xdr:cNvSpPr txBox="1"/>
      </xdr:nvSpPr>
      <xdr:spPr>
        <a:xfrm rot="19093313">
          <a:off x="2285999" y="1608025"/>
          <a:ext cx="188595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baseline="0">
              <a:ln w="0"/>
              <a:solidFill>
                <a:schemeClr val="bg2">
                  <a:lumMod val="75000"/>
                </a:schemeClr>
              </a:solidFill>
              <a:effectLst/>
              <a:latin typeface="+mj-lt"/>
            </a:rPr>
            <a:t>Pendidikan</a:t>
          </a:r>
          <a:endParaRPr lang="en-ID" sz="800" b="0" cap="none" spc="0">
            <a:ln w="0"/>
            <a:solidFill>
              <a:schemeClr val="bg2">
                <a:lumMod val="75000"/>
              </a:schemeClr>
            </a:solidFill>
            <a:effectLst/>
            <a:latin typeface="+mj-lt"/>
          </a:endParaRPr>
        </a:p>
      </xdr:txBody>
    </xdr:sp>
    <xdr:clientData/>
  </xdr:oneCellAnchor>
  <xdr:twoCellAnchor>
    <xdr:from>
      <xdr:col>7</xdr:col>
      <xdr:colOff>104776</xdr:colOff>
      <xdr:row>0</xdr:row>
      <xdr:rowOff>66675</xdr:rowOff>
    </xdr:from>
    <xdr:to>
      <xdr:col>11</xdr:col>
      <xdr:colOff>104776</xdr:colOff>
      <xdr:row>12</xdr:row>
      <xdr:rowOff>57150</xdr:rowOff>
    </xdr:to>
    <xdr:sp macro="" textlink="">
      <xdr:nvSpPr>
        <xdr:cNvPr id="17" name="Rectangle 16">
          <a:extLst>
            <a:ext uri="{FF2B5EF4-FFF2-40B4-BE49-F238E27FC236}">
              <a16:creationId xmlns:a16="http://schemas.microsoft.com/office/drawing/2014/main" id="{7F650F7B-6F83-4853-AF37-5E5A96ED4CF3}"/>
            </a:ext>
          </a:extLst>
        </xdr:cNvPr>
        <xdr:cNvSpPr/>
      </xdr:nvSpPr>
      <xdr:spPr>
        <a:xfrm>
          <a:off x="4371976" y="66675"/>
          <a:ext cx="2438400" cy="2276475"/>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7</xdr:col>
      <xdr:colOff>104776</xdr:colOff>
      <xdr:row>0</xdr:row>
      <xdr:rowOff>152401</xdr:rowOff>
    </xdr:from>
    <xdr:ext cx="2438400" cy="256737"/>
    <xdr:sp macro="" textlink="">
      <xdr:nvSpPr>
        <xdr:cNvPr id="18" name="TextBox 17">
          <a:extLst>
            <a:ext uri="{FF2B5EF4-FFF2-40B4-BE49-F238E27FC236}">
              <a16:creationId xmlns:a16="http://schemas.microsoft.com/office/drawing/2014/main" id="{06AD7495-CAC0-4BE5-9BBE-1F0554B4D0C0}"/>
            </a:ext>
          </a:extLst>
        </xdr:cNvPr>
        <xdr:cNvSpPr txBox="1"/>
      </xdr:nvSpPr>
      <xdr:spPr>
        <a:xfrm>
          <a:off x="4371976" y="152401"/>
          <a:ext cx="243840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1050" b="0" cap="none" spc="0">
              <a:ln w="0"/>
              <a:solidFill>
                <a:schemeClr val="accent5">
                  <a:lumMod val="20000"/>
                  <a:lumOff val="80000"/>
                </a:schemeClr>
              </a:solidFill>
              <a:effectLst>
                <a:glow rad="63500">
                  <a:schemeClr val="accent3">
                    <a:satMod val="175000"/>
                    <a:alpha val="40000"/>
                  </a:schemeClr>
                </a:glow>
                <a:outerShdw blurRad="38100" dist="25400" dir="5400000" algn="ctr" rotWithShape="0">
                  <a:srgbClr val="6E747A">
                    <a:alpha val="43000"/>
                  </a:srgbClr>
                </a:outerShdw>
                <a:reflection blurRad="6350" stA="55000" endA="300" endPos="45500" dir="5400000" sy="-100000" algn="bl" rotWithShape="0"/>
              </a:effectLst>
              <a:latin typeface="+mj-lt"/>
            </a:rPr>
            <a:t>Prestasi</a:t>
          </a:r>
          <a:r>
            <a:rPr lang="en-ID" sz="1050" b="0" cap="none" spc="0" baseline="0">
              <a:ln w="0"/>
              <a:solidFill>
                <a:schemeClr val="accent5">
                  <a:lumMod val="20000"/>
                  <a:lumOff val="80000"/>
                </a:schemeClr>
              </a:solidFill>
              <a:effectLst>
                <a:glow rad="63500">
                  <a:schemeClr val="accent3">
                    <a:satMod val="175000"/>
                    <a:alpha val="40000"/>
                  </a:schemeClr>
                </a:glow>
                <a:outerShdw blurRad="38100" dist="25400" dir="5400000" algn="ctr" rotWithShape="0">
                  <a:srgbClr val="6E747A">
                    <a:alpha val="43000"/>
                  </a:srgbClr>
                </a:outerShdw>
                <a:reflection blurRad="6350" stA="55000" endA="300" endPos="45500" dir="5400000" sy="-100000" algn="bl" rotWithShape="0"/>
              </a:effectLst>
              <a:latin typeface="+mj-lt"/>
            </a:rPr>
            <a:t> bidang Pendidikan</a:t>
          </a:r>
          <a:endParaRPr lang="en-ID" sz="1050" b="0" cap="none" spc="0">
            <a:ln w="0"/>
            <a:solidFill>
              <a:schemeClr val="accent5">
                <a:lumMod val="20000"/>
                <a:lumOff val="80000"/>
              </a:schemeClr>
            </a:solidFill>
            <a:effectLst>
              <a:glow rad="63500">
                <a:schemeClr val="accent3">
                  <a:satMod val="175000"/>
                  <a:alpha val="40000"/>
                </a:schemeClr>
              </a:glow>
              <a:outerShdw blurRad="38100" dist="25400" dir="5400000" algn="ctr" rotWithShape="0">
                <a:srgbClr val="6E747A">
                  <a:alpha val="43000"/>
                </a:srgbClr>
              </a:outerShdw>
              <a:reflection blurRad="6350" stA="55000" endA="300" endPos="45500" dir="5400000" sy="-100000" algn="bl" rotWithShape="0"/>
            </a:effectLst>
            <a:latin typeface="+mj-lt"/>
          </a:endParaRPr>
        </a:p>
      </xdr:txBody>
    </xdr:sp>
    <xdr:clientData/>
  </xdr:oneCellAnchor>
  <xdr:oneCellAnchor>
    <xdr:from>
      <xdr:col>7</xdr:col>
      <xdr:colOff>163568</xdr:colOff>
      <xdr:row>10</xdr:row>
      <xdr:rowOff>68646</xdr:rowOff>
    </xdr:from>
    <xdr:ext cx="304800" cy="217560"/>
    <xdr:sp macro="" textlink="">
      <xdr:nvSpPr>
        <xdr:cNvPr id="20" name="TextBox 19">
          <a:extLst>
            <a:ext uri="{FF2B5EF4-FFF2-40B4-BE49-F238E27FC236}">
              <a16:creationId xmlns:a16="http://schemas.microsoft.com/office/drawing/2014/main" id="{43927106-F5CE-4177-9C0A-34FDAC3BB8AB}"/>
            </a:ext>
          </a:extLst>
        </xdr:cNvPr>
        <xdr:cNvSpPr txBox="1"/>
      </xdr:nvSpPr>
      <xdr:spPr>
        <a:xfrm>
          <a:off x="4430768" y="1973646"/>
          <a:ext cx="30480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a:ln w="0"/>
              <a:solidFill>
                <a:schemeClr val="bg2">
                  <a:lumMod val="75000"/>
                </a:schemeClr>
              </a:solidFill>
              <a:effectLst/>
              <a:latin typeface="+mj-lt"/>
            </a:rPr>
            <a:t>TK</a:t>
          </a:r>
        </a:p>
      </xdr:txBody>
    </xdr:sp>
    <xdr:clientData/>
  </xdr:oneCellAnchor>
  <xdr:oneCellAnchor>
    <xdr:from>
      <xdr:col>7</xdr:col>
      <xdr:colOff>176706</xdr:colOff>
      <xdr:row>8</xdr:row>
      <xdr:rowOff>106089</xdr:rowOff>
    </xdr:from>
    <xdr:ext cx="304800" cy="217560"/>
    <xdr:sp macro="" textlink="">
      <xdr:nvSpPr>
        <xdr:cNvPr id="21" name="TextBox 20">
          <a:extLst>
            <a:ext uri="{FF2B5EF4-FFF2-40B4-BE49-F238E27FC236}">
              <a16:creationId xmlns:a16="http://schemas.microsoft.com/office/drawing/2014/main" id="{C6207BAD-1534-4E06-8208-B6884F564A6B}"/>
            </a:ext>
          </a:extLst>
        </xdr:cNvPr>
        <xdr:cNvSpPr txBox="1"/>
      </xdr:nvSpPr>
      <xdr:spPr>
        <a:xfrm>
          <a:off x="4443906" y="1630089"/>
          <a:ext cx="304800"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a:ln w="0"/>
              <a:solidFill>
                <a:schemeClr val="bg2">
                  <a:lumMod val="75000"/>
                </a:schemeClr>
              </a:solidFill>
              <a:effectLst/>
              <a:latin typeface="+mj-lt"/>
            </a:rPr>
            <a:t>SD</a:t>
          </a:r>
        </a:p>
      </xdr:txBody>
    </xdr:sp>
    <xdr:clientData/>
  </xdr:oneCellAnchor>
  <xdr:oneCellAnchor>
    <xdr:from>
      <xdr:col>7</xdr:col>
      <xdr:colOff>163567</xdr:colOff>
      <xdr:row>6</xdr:row>
      <xdr:rowOff>116272</xdr:rowOff>
    </xdr:from>
    <xdr:ext cx="419101" cy="217560"/>
    <xdr:sp macro="" textlink="">
      <xdr:nvSpPr>
        <xdr:cNvPr id="22" name="TextBox 21">
          <a:extLst>
            <a:ext uri="{FF2B5EF4-FFF2-40B4-BE49-F238E27FC236}">
              <a16:creationId xmlns:a16="http://schemas.microsoft.com/office/drawing/2014/main" id="{CE38A263-8F8A-468E-86D7-BC436DAD0ECD}"/>
            </a:ext>
          </a:extLst>
        </xdr:cNvPr>
        <xdr:cNvSpPr txBox="1"/>
      </xdr:nvSpPr>
      <xdr:spPr>
        <a:xfrm>
          <a:off x="4430767" y="1259272"/>
          <a:ext cx="419101"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a:ln w="0"/>
              <a:solidFill>
                <a:schemeClr val="bg2">
                  <a:lumMod val="75000"/>
                </a:schemeClr>
              </a:solidFill>
              <a:effectLst/>
              <a:latin typeface="+mj-lt"/>
            </a:rPr>
            <a:t>SMP</a:t>
          </a:r>
        </a:p>
      </xdr:txBody>
    </xdr:sp>
    <xdr:clientData/>
  </xdr:oneCellAnchor>
  <xdr:oneCellAnchor>
    <xdr:from>
      <xdr:col>7</xdr:col>
      <xdr:colOff>145503</xdr:colOff>
      <xdr:row>2</xdr:row>
      <xdr:rowOff>112987</xdr:rowOff>
    </xdr:from>
    <xdr:ext cx="714376" cy="342786"/>
    <xdr:sp macro="" textlink="">
      <xdr:nvSpPr>
        <xdr:cNvPr id="23" name="TextBox 22">
          <a:extLst>
            <a:ext uri="{FF2B5EF4-FFF2-40B4-BE49-F238E27FC236}">
              <a16:creationId xmlns:a16="http://schemas.microsoft.com/office/drawing/2014/main" id="{5C9859E8-33AB-4CAB-B9AC-54D450F13BE6}"/>
            </a:ext>
          </a:extLst>
        </xdr:cNvPr>
        <xdr:cNvSpPr txBox="1"/>
      </xdr:nvSpPr>
      <xdr:spPr>
        <a:xfrm>
          <a:off x="4412703" y="493987"/>
          <a:ext cx="714376"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ID" sz="800" b="0" cap="none" spc="0">
              <a:ln w="0"/>
              <a:solidFill>
                <a:schemeClr val="bg2">
                  <a:lumMod val="75000"/>
                </a:schemeClr>
              </a:solidFill>
              <a:effectLst/>
              <a:latin typeface="+mj-lt"/>
            </a:rPr>
            <a:t>Perguruan</a:t>
          </a:r>
          <a:r>
            <a:rPr lang="en-ID" sz="800" b="0" cap="none" spc="0" baseline="0">
              <a:ln w="0"/>
              <a:solidFill>
                <a:schemeClr val="bg2">
                  <a:lumMod val="75000"/>
                </a:schemeClr>
              </a:solidFill>
              <a:effectLst/>
              <a:latin typeface="+mj-lt"/>
            </a:rPr>
            <a:t> Tinggi</a:t>
          </a:r>
          <a:endParaRPr lang="en-ID" sz="800" b="0" cap="none" spc="0">
            <a:ln w="0"/>
            <a:solidFill>
              <a:schemeClr val="bg2">
                <a:lumMod val="75000"/>
              </a:schemeClr>
            </a:solidFill>
            <a:effectLst/>
            <a:latin typeface="+mj-lt"/>
          </a:endParaRPr>
        </a:p>
      </xdr:txBody>
    </xdr:sp>
    <xdr:clientData/>
  </xdr:oneCellAnchor>
  <xdr:oneCellAnchor>
    <xdr:from>
      <xdr:col>7</xdr:col>
      <xdr:colOff>167180</xdr:colOff>
      <xdr:row>4</xdr:row>
      <xdr:rowOff>112659</xdr:rowOff>
    </xdr:from>
    <xdr:ext cx="419101" cy="217560"/>
    <xdr:sp macro="" textlink="">
      <xdr:nvSpPr>
        <xdr:cNvPr id="24" name="TextBox 23">
          <a:extLst>
            <a:ext uri="{FF2B5EF4-FFF2-40B4-BE49-F238E27FC236}">
              <a16:creationId xmlns:a16="http://schemas.microsoft.com/office/drawing/2014/main" id="{28C1E0BD-FA63-44C2-ABDE-1EC8BF57A708}"/>
            </a:ext>
          </a:extLst>
        </xdr:cNvPr>
        <xdr:cNvSpPr txBox="1"/>
      </xdr:nvSpPr>
      <xdr:spPr>
        <a:xfrm>
          <a:off x="4434380" y="874659"/>
          <a:ext cx="419101"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0" cap="none" spc="0">
              <a:ln w="0"/>
              <a:solidFill>
                <a:schemeClr val="bg2">
                  <a:lumMod val="75000"/>
                </a:schemeClr>
              </a:solidFill>
              <a:effectLst/>
              <a:latin typeface="+mj-lt"/>
            </a:rPr>
            <a:t>SMA</a:t>
          </a:r>
        </a:p>
      </xdr:txBody>
    </xdr:sp>
    <xdr:clientData/>
  </xdr:oneCellAnchor>
  <xdr:twoCellAnchor>
    <xdr:from>
      <xdr:col>0</xdr:col>
      <xdr:colOff>38101</xdr:colOff>
      <xdr:row>8</xdr:row>
      <xdr:rowOff>1</xdr:rowOff>
    </xdr:from>
    <xdr:to>
      <xdr:col>2</xdr:col>
      <xdr:colOff>600076</xdr:colOff>
      <xdr:row>14</xdr:row>
      <xdr:rowOff>47626</xdr:rowOff>
    </xdr:to>
    <xdr:sp macro="" textlink="">
      <xdr:nvSpPr>
        <xdr:cNvPr id="25" name="Rectangle 24">
          <a:extLst>
            <a:ext uri="{FF2B5EF4-FFF2-40B4-BE49-F238E27FC236}">
              <a16:creationId xmlns:a16="http://schemas.microsoft.com/office/drawing/2014/main" id="{F753B8DA-A628-4394-9782-036FA5576D3F}"/>
            </a:ext>
          </a:extLst>
        </xdr:cNvPr>
        <xdr:cNvSpPr/>
      </xdr:nvSpPr>
      <xdr:spPr>
        <a:xfrm>
          <a:off x="38101" y="1524001"/>
          <a:ext cx="1781175" cy="1190625"/>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700"/>
        </a:p>
      </xdr:txBody>
    </xdr:sp>
    <xdr:clientData/>
  </xdr:twoCellAnchor>
  <xdr:oneCellAnchor>
    <xdr:from>
      <xdr:col>0</xdr:col>
      <xdr:colOff>38100</xdr:colOff>
      <xdr:row>8</xdr:row>
      <xdr:rowOff>23483</xdr:rowOff>
    </xdr:from>
    <xdr:ext cx="1781175" cy="259174"/>
    <xdr:sp macro="" textlink="">
      <xdr:nvSpPr>
        <xdr:cNvPr id="26" name="TextBox 25">
          <a:extLst>
            <a:ext uri="{FF2B5EF4-FFF2-40B4-BE49-F238E27FC236}">
              <a16:creationId xmlns:a16="http://schemas.microsoft.com/office/drawing/2014/main" id="{3E0BA519-F653-4DB2-95D7-BAED06FCC9A7}"/>
            </a:ext>
          </a:extLst>
        </xdr:cNvPr>
        <xdr:cNvSpPr txBox="1"/>
      </xdr:nvSpPr>
      <xdr:spPr>
        <a:xfrm>
          <a:off x="38100" y="1547483"/>
          <a:ext cx="1781175" cy="25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100" b="0" cap="none" spc="0">
              <a:ln w="0"/>
              <a:solidFill>
                <a:schemeClr val="accent2">
                  <a:lumMod val="60000"/>
                  <a:lumOff val="40000"/>
                </a:schemeClr>
              </a:solidFill>
              <a:effectLst>
                <a:reflection blurRad="6350" stA="53000" endA="300" endPos="35500" dir="5400000" sy="-90000" algn="bl" rotWithShape="0"/>
              </a:effectLst>
              <a:latin typeface="Bodoni Bd BT" panose="02070803080706020303" pitchFamily="18" charset="0"/>
            </a:rPr>
            <a:t>Struktur Pemerintahan</a:t>
          </a:r>
        </a:p>
      </xdr:txBody>
    </xdr:sp>
    <xdr:clientData/>
  </xdr:oneCellAnchor>
  <xdr:oneCellAnchor>
    <xdr:from>
      <xdr:col>0</xdr:col>
      <xdr:colOff>38101</xdr:colOff>
      <xdr:row>9</xdr:row>
      <xdr:rowOff>95251</xdr:rowOff>
    </xdr:from>
    <xdr:ext cx="1781175" cy="233205"/>
    <xdr:sp macro="" textlink="">
      <xdr:nvSpPr>
        <xdr:cNvPr id="27" name="TextBox 26">
          <a:extLst>
            <a:ext uri="{FF2B5EF4-FFF2-40B4-BE49-F238E27FC236}">
              <a16:creationId xmlns:a16="http://schemas.microsoft.com/office/drawing/2014/main" id="{53E889C4-2256-40D5-93BB-C4A0669AE745}"/>
            </a:ext>
          </a:extLst>
        </xdr:cNvPr>
        <xdr:cNvSpPr txBox="1"/>
      </xdr:nvSpPr>
      <xdr:spPr>
        <a:xfrm>
          <a:off x="38101" y="1809751"/>
          <a:ext cx="17811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900" b="1" cap="none" spc="0">
              <a:ln w="0"/>
              <a:solidFill>
                <a:schemeClr val="bg2">
                  <a:lumMod val="75000"/>
                </a:schemeClr>
              </a:solidFill>
              <a:effectLst/>
              <a:latin typeface="+mj-lt"/>
            </a:rPr>
            <a:t>DESA</a:t>
          </a:r>
        </a:p>
      </xdr:txBody>
    </xdr:sp>
    <xdr:clientData/>
  </xdr:oneCellAnchor>
  <xdr:oneCellAnchor>
    <xdr:from>
      <xdr:col>1</xdr:col>
      <xdr:colOff>466726</xdr:colOff>
      <xdr:row>9</xdr:row>
      <xdr:rowOff>95251</xdr:rowOff>
    </xdr:from>
    <xdr:ext cx="742950" cy="233205"/>
    <xdr:sp macro="" textlink="">
      <xdr:nvSpPr>
        <xdr:cNvPr id="28" name="TextBox 27">
          <a:extLst>
            <a:ext uri="{FF2B5EF4-FFF2-40B4-BE49-F238E27FC236}">
              <a16:creationId xmlns:a16="http://schemas.microsoft.com/office/drawing/2014/main" id="{39EC634C-D640-4497-A02E-ABED58340A2F}"/>
            </a:ext>
          </a:extLst>
        </xdr:cNvPr>
        <xdr:cNvSpPr txBox="1"/>
      </xdr:nvSpPr>
      <xdr:spPr>
        <a:xfrm>
          <a:off x="1076326" y="1809751"/>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900" b="1" cap="none" spc="0">
              <a:ln w="0"/>
              <a:solidFill>
                <a:schemeClr val="bg2">
                  <a:lumMod val="75000"/>
                </a:schemeClr>
              </a:solidFill>
              <a:effectLst/>
              <a:latin typeface="+mj-lt"/>
            </a:rPr>
            <a:t>DUSUN</a:t>
          </a:r>
        </a:p>
      </xdr:txBody>
    </xdr:sp>
    <xdr:clientData/>
  </xdr:oneCellAnchor>
  <xdr:oneCellAnchor>
    <xdr:from>
      <xdr:col>0</xdr:col>
      <xdr:colOff>47626</xdr:colOff>
      <xdr:row>11</xdr:row>
      <xdr:rowOff>123826</xdr:rowOff>
    </xdr:from>
    <xdr:ext cx="1781175" cy="233205"/>
    <xdr:sp macro="" textlink="">
      <xdr:nvSpPr>
        <xdr:cNvPr id="29" name="TextBox 28">
          <a:extLst>
            <a:ext uri="{FF2B5EF4-FFF2-40B4-BE49-F238E27FC236}">
              <a16:creationId xmlns:a16="http://schemas.microsoft.com/office/drawing/2014/main" id="{1A2877D0-B0BB-46F5-872C-3C9C1608052F}"/>
            </a:ext>
          </a:extLst>
        </xdr:cNvPr>
        <xdr:cNvSpPr txBox="1"/>
      </xdr:nvSpPr>
      <xdr:spPr>
        <a:xfrm>
          <a:off x="47626" y="2219326"/>
          <a:ext cx="17811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900" b="1" cap="none" spc="0">
              <a:ln w="0"/>
              <a:solidFill>
                <a:schemeClr val="bg2">
                  <a:lumMod val="75000"/>
                </a:schemeClr>
              </a:solidFill>
              <a:effectLst/>
              <a:latin typeface="+mj-lt"/>
            </a:rPr>
            <a:t>RW</a:t>
          </a:r>
        </a:p>
      </xdr:txBody>
    </xdr:sp>
    <xdr:clientData/>
  </xdr:oneCellAnchor>
  <xdr:oneCellAnchor>
    <xdr:from>
      <xdr:col>1</xdr:col>
      <xdr:colOff>466726</xdr:colOff>
      <xdr:row>11</xdr:row>
      <xdr:rowOff>114301</xdr:rowOff>
    </xdr:from>
    <xdr:ext cx="1781175" cy="233205"/>
    <xdr:sp macro="" textlink="">
      <xdr:nvSpPr>
        <xdr:cNvPr id="30" name="TextBox 29">
          <a:extLst>
            <a:ext uri="{FF2B5EF4-FFF2-40B4-BE49-F238E27FC236}">
              <a16:creationId xmlns:a16="http://schemas.microsoft.com/office/drawing/2014/main" id="{8536DD08-2647-440F-9718-3D3E388920D2}"/>
            </a:ext>
          </a:extLst>
        </xdr:cNvPr>
        <xdr:cNvSpPr txBox="1"/>
      </xdr:nvSpPr>
      <xdr:spPr>
        <a:xfrm>
          <a:off x="1076326" y="2209801"/>
          <a:ext cx="1781175"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900" b="1" cap="none" spc="0">
              <a:ln w="0"/>
              <a:solidFill>
                <a:schemeClr val="bg2">
                  <a:lumMod val="75000"/>
                </a:schemeClr>
              </a:solidFill>
              <a:effectLst/>
              <a:latin typeface="+mj-lt"/>
            </a:rPr>
            <a:t>RT</a:t>
          </a:r>
        </a:p>
      </xdr:txBody>
    </xdr:sp>
    <xdr:clientData/>
  </xdr:oneCellAnchor>
  <xdr:twoCellAnchor>
    <xdr:from>
      <xdr:col>0</xdr:col>
      <xdr:colOff>123826</xdr:colOff>
      <xdr:row>10</xdr:row>
      <xdr:rowOff>85726</xdr:rowOff>
    </xdr:from>
    <xdr:to>
      <xdr:col>0</xdr:col>
      <xdr:colOff>466726</xdr:colOff>
      <xdr:row>11</xdr:row>
      <xdr:rowOff>66676</xdr:rowOff>
    </xdr:to>
    <xdr:sp macro="" textlink="PivotTable!B45">
      <xdr:nvSpPr>
        <xdr:cNvPr id="31" name="Rectangle: Rounded Corners 30">
          <a:extLst>
            <a:ext uri="{FF2B5EF4-FFF2-40B4-BE49-F238E27FC236}">
              <a16:creationId xmlns:a16="http://schemas.microsoft.com/office/drawing/2014/main" id="{32E73E82-8EF6-4EE0-9A52-8DFCF825FD4A}"/>
            </a:ext>
          </a:extLst>
        </xdr:cNvPr>
        <xdr:cNvSpPr/>
      </xdr:nvSpPr>
      <xdr:spPr>
        <a:xfrm>
          <a:off x="123826" y="1990726"/>
          <a:ext cx="342900" cy="171450"/>
        </a:xfrm>
        <a:prstGeom prst="roundRect">
          <a:avLst/>
        </a:prstGeom>
        <a:solidFill>
          <a:srgbClr val="FDA127"/>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DFA1A94B-37BC-4F36-9365-8B73A2DBDCBA}" type="TxLink">
            <a:rPr lang="en-US" sz="900" b="0" i="0" u="none" strike="noStrike">
              <a:solidFill>
                <a:srgbClr val="002060"/>
              </a:solidFill>
              <a:latin typeface="Berlin Sans FB" panose="020E0602020502020306" pitchFamily="34" charset="0"/>
              <a:cs typeface="Calibri"/>
            </a:rPr>
            <a:pPr algn="ctr"/>
            <a:t>13</a:t>
          </a:fld>
          <a:endParaRPr lang="en-ID" sz="300">
            <a:solidFill>
              <a:srgbClr val="002060"/>
            </a:solidFill>
            <a:latin typeface="Berlin Sans FB" panose="020E0602020502020306" pitchFamily="34" charset="0"/>
          </a:endParaRPr>
        </a:p>
      </xdr:txBody>
    </xdr:sp>
    <xdr:clientData/>
  </xdr:twoCellAnchor>
  <xdr:twoCellAnchor>
    <xdr:from>
      <xdr:col>0</xdr:col>
      <xdr:colOff>114301</xdr:colOff>
      <xdr:row>12</xdr:row>
      <xdr:rowOff>114301</xdr:rowOff>
    </xdr:from>
    <xdr:to>
      <xdr:col>0</xdr:col>
      <xdr:colOff>457201</xdr:colOff>
      <xdr:row>13</xdr:row>
      <xdr:rowOff>95251</xdr:rowOff>
    </xdr:to>
    <xdr:sp macro="" textlink="PivotTable!D45">
      <xdr:nvSpPr>
        <xdr:cNvPr id="32" name="Rectangle: Rounded Corners 31">
          <a:extLst>
            <a:ext uri="{FF2B5EF4-FFF2-40B4-BE49-F238E27FC236}">
              <a16:creationId xmlns:a16="http://schemas.microsoft.com/office/drawing/2014/main" id="{E363E056-DDDC-4D5D-9C25-DD3846DA1925}"/>
            </a:ext>
          </a:extLst>
        </xdr:cNvPr>
        <xdr:cNvSpPr/>
      </xdr:nvSpPr>
      <xdr:spPr>
        <a:xfrm>
          <a:off x="114301" y="2400301"/>
          <a:ext cx="342900" cy="171450"/>
        </a:xfrm>
        <a:prstGeom prst="roundRect">
          <a:avLst/>
        </a:prstGeom>
        <a:solidFill>
          <a:srgbClr val="FDA127"/>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9BB5DB7D-46AA-4CD4-AAF2-DCB70512C48C}" type="TxLink">
            <a:rPr lang="en-US" sz="900" b="0" i="0" u="none" strike="noStrike">
              <a:solidFill>
                <a:srgbClr val="002060"/>
              </a:solidFill>
              <a:latin typeface="Berlin Sans FB" panose="020E0602020502020306" pitchFamily="34" charset="0"/>
              <a:cs typeface="Calibri"/>
            </a:rPr>
            <a:pPr algn="ctr"/>
            <a:t>93</a:t>
          </a:fld>
          <a:endParaRPr lang="en-ID" sz="300">
            <a:solidFill>
              <a:srgbClr val="002060"/>
            </a:solidFill>
            <a:latin typeface="Berlin Sans FB" panose="020E0602020502020306" pitchFamily="34" charset="0"/>
          </a:endParaRPr>
        </a:p>
      </xdr:txBody>
    </xdr:sp>
    <xdr:clientData/>
  </xdr:twoCellAnchor>
  <xdr:twoCellAnchor>
    <xdr:from>
      <xdr:col>1</xdr:col>
      <xdr:colOff>552451</xdr:colOff>
      <xdr:row>10</xdr:row>
      <xdr:rowOff>85726</xdr:rowOff>
    </xdr:from>
    <xdr:to>
      <xdr:col>2</xdr:col>
      <xdr:colOff>285751</xdr:colOff>
      <xdr:row>11</xdr:row>
      <xdr:rowOff>66676</xdr:rowOff>
    </xdr:to>
    <xdr:sp macro="" textlink="PivotTable!C45">
      <xdr:nvSpPr>
        <xdr:cNvPr id="33" name="Rectangle: Rounded Corners 32">
          <a:extLst>
            <a:ext uri="{FF2B5EF4-FFF2-40B4-BE49-F238E27FC236}">
              <a16:creationId xmlns:a16="http://schemas.microsoft.com/office/drawing/2014/main" id="{32CF91D9-0B72-4F18-B333-E31C4B885D93}"/>
            </a:ext>
          </a:extLst>
        </xdr:cNvPr>
        <xdr:cNvSpPr/>
      </xdr:nvSpPr>
      <xdr:spPr>
        <a:xfrm>
          <a:off x="1162051" y="1990726"/>
          <a:ext cx="342900" cy="171450"/>
        </a:xfrm>
        <a:prstGeom prst="roundRect">
          <a:avLst/>
        </a:prstGeom>
        <a:solidFill>
          <a:srgbClr val="FDA127"/>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04B122E2-5D23-4549-AED9-2C9E01B4F0CA}" type="TxLink">
            <a:rPr lang="en-US" sz="900" b="0" i="0" u="none" strike="noStrike">
              <a:solidFill>
                <a:srgbClr val="002060"/>
              </a:solidFill>
              <a:latin typeface="Berlin Sans FB" panose="020E0602020502020306" pitchFamily="34" charset="0"/>
              <a:cs typeface="Calibri"/>
            </a:rPr>
            <a:pPr algn="ctr"/>
            <a:t>39</a:t>
          </a:fld>
          <a:endParaRPr lang="en-ID" sz="300" b="0">
            <a:solidFill>
              <a:srgbClr val="002060"/>
            </a:solidFill>
            <a:latin typeface="Berlin Sans FB" panose="020E0602020502020306" pitchFamily="34" charset="0"/>
          </a:endParaRPr>
        </a:p>
      </xdr:txBody>
    </xdr:sp>
    <xdr:clientData/>
  </xdr:twoCellAnchor>
  <xdr:twoCellAnchor>
    <xdr:from>
      <xdr:col>1</xdr:col>
      <xdr:colOff>561976</xdr:colOff>
      <xdr:row>12</xdr:row>
      <xdr:rowOff>104776</xdr:rowOff>
    </xdr:from>
    <xdr:to>
      <xdr:col>2</xdr:col>
      <xdr:colOff>295276</xdr:colOff>
      <xdr:row>13</xdr:row>
      <xdr:rowOff>85726</xdr:rowOff>
    </xdr:to>
    <xdr:sp macro="" textlink="PivotTable!E45">
      <xdr:nvSpPr>
        <xdr:cNvPr id="34" name="Rectangle: Rounded Corners 33">
          <a:extLst>
            <a:ext uri="{FF2B5EF4-FFF2-40B4-BE49-F238E27FC236}">
              <a16:creationId xmlns:a16="http://schemas.microsoft.com/office/drawing/2014/main" id="{6F71CBCB-7007-4E07-BA2A-B910A4244E95}"/>
            </a:ext>
          </a:extLst>
        </xdr:cNvPr>
        <xdr:cNvSpPr/>
      </xdr:nvSpPr>
      <xdr:spPr>
        <a:xfrm>
          <a:off x="1171576" y="2390776"/>
          <a:ext cx="342900" cy="171450"/>
        </a:xfrm>
        <a:prstGeom prst="roundRect">
          <a:avLst/>
        </a:prstGeom>
        <a:solidFill>
          <a:srgbClr val="FDA127"/>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061DD868-0C4E-4A10-87E3-8C9B43F5D68E}" type="TxLink">
            <a:rPr lang="en-US" sz="900" b="0" i="0" u="none" strike="noStrike">
              <a:solidFill>
                <a:srgbClr val="002060"/>
              </a:solidFill>
              <a:latin typeface="Berlin Sans FB" panose="020E0602020502020306" pitchFamily="34" charset="0"/>
              <a:cs typeface="Calibri"/>
            </a:rPr>
            <a:pPr algn="ctr"/>
            <a:t>317</a:t>
          </a:fld>
          <a:endParaRPr lang="en-ID" sz="300">
            <a:solidFill>
              <a:srgbClr val="002060"/>
            </a:solidFill>
            <a:latin typeface="Berlin Sans FB" panose="020E0602020502020306" pitchFamily="34" charset="0"/>
          </a:endParaRPr>
        </a:p>
      </xdr:txBody>
    </xdr:sp>
    <xdr:clientData/>
  </xdr:twoCellAnchor>
  <xdr:twoCellAnchor>
    <xdr:from>
      <xdr:col>3</xdr:col>
      <xdr:colOff>476250</xdr:colOff>
      <xdr:row>0</xdr:row>
      <xdr:rowOff>123826</xdr:rowOff>
    </xdr:from>
    <xdr:to>
      <xdr:col>6</xdr:col>
      <xdr:colOff>190501</xdr:colOff>
      <xdr:row>2</xdr:row>
      <xdr:rowOff>1</xdr:rowOff>
    </xdr:to>
    <xdr:sp macro="" textlink="">
      <xdr:nvSpPr>
        <xdr:cNvPr id="35" name="Rectangle: Rounded Corners 34">
          <a:extLst>
            <a:ext uri="{FF2B5EF4-FFF2-40B4-BE49-F238E27FC236}">
              <a16:creationId xmlns:a16="http://schemas.microsoft.com/office/drawing/2014/main" id="{00EF30B8-110E-4104-A29C-E734AAE0B0C6}"/>
            </a:ext>
          </a:extLst>
        </xdr:cNvPr>
        <xdr:cNvSpPr/>
      </xdr:nvSpPr>
      <xdr:spPr>
        <a:xfrm>
          <a:off x="2305050" y="123826"/>
          <a:ext cx="1543051" cy="257175"/>
        </a:xfrm>
        <a:prstGeom prst="roundRect">
          <a:avLst/>
        </a:prstGeom>
        <a:solidFill>
          <a:schemeClr val="accent4">
            <a:lumMod val="20000"/>
            <a:lumOff val="80000"/>
          </a:schemeClr>
        </a:solidFill>
        <a:effectLst>
          <a:softEdge rad="63500"/>
        </a:effectLst>
      </xdr:spPr>
      <xdr:style>
        <a:lnRef idx="2">
          <a:schemeClr val="accent3"/>
        </a:lnRef>
        <a:fillRef idx="1">
          <a:schemeClr val="lt1"/>
        </a:fillRef>
        <a:effectRef idx="0">
          <a:schemeClr val="accent3"/>
        </a:effectRef>
        <a:fontRef idx="minor">
          <a:schemeClr val="dk1"/>
        </a:fontRef>
      </xdr:style>
      <xdr:txBody>
        <a:bodyPr vertOverflow="clip" horzOverflow="clip" rtlCol="0" anchor="ctr"/>
        <a:lstStyle/>
        <a:p>
          <a:pPr algn="ctr"/>
          <a:r>
            <a:rPr lang="en-ID" sz="1050" b="0" cap="none" spc="0">
              <a:ln w="0"/>
              <a:solidFill>
                <a:schemeClr val="tx1">
                  <a:lumMod val="65000"/>
                  <a:lumOff val="35000"/>
                </a:schemeClr>
              </a:solidFill>
              <a:effectLst>
                <a:outerShdw blurRad="38100" dist="19050" dir="2700000" algn="tl" rotWithShape="0">
                  <a:schemeClr val="dk1">
                    <a:alpha val="40000"/>
                  </a:schemeClr>
                </a:outerShdw>
              </a:effectLst>
              <a:latin typeface="Bodoni MT" panose="02070603080606020203" pitchFamily="18" charset="0"/>
              <a:cs typeface="Aharoni" panose="02010803020104030203" pitchFamily="2" charset="-79"/>
            </a:rPr>
            <a:t>Prestasi</a:t>
          </a:r>
          <a:r>
            <a:rPr lang="en-ID" sz="1050" b="0" cap="none" spc="0" baseline="0">
              <a:ln w="0"/>
              <a:solidFill>
                <a:schemeClr val="tx1">
                  <a:lumMod val="65000"/>
                  <a:lumOff val="35000"/>
                </a:schemeClr>
              </a:solidFill>
              <a:effectLst>
                <a:outerShdw blurRad="38100" dist="19050" dir="2700000" algn="tl" rotWithShape="0">
                  <a:schemeClr val="dk1">
                    <a:alpha val="40000"/>
                  </a:schemeClr>
                </a:outerShdw>
              </a:effectLst>
              <a:latin typeface="Bodoni MT" panose="02070603080606020203" pitchFamily="18" charset="0"/>
              <a:cs typeface="Aharoni" panose="02010803020104030203" pitchFamily="2" charset="-79"/>
            </a:rPr>
            <a:t> yang Diraih</a:t>
          </a:r>
          <a:endParaRPr lang="en-ID" sz="1050" b="0" cap="none" spc="0">
            <a:ln w="0"/>
            <a:solidFill>
              <a:schemeClr val="tx1">
                <a:lumMod val="65000"/>
                <a:lumOff val="35000"/>
              </a:schemeClr>
            </a:solidFill>
            <a:effectLst>
              <a:outerShdw blurRad="38100" dist="19050" dir="2700000" algn="tl" rotWithShape="0">
                <a:schemeClr val="dk1">
                  <a:alpha val="40000"/>
                </a:schemeClr>
              </a:outerShdw>
            </a:effectLst>
            <a:latin typeface="Bodoni MT" panose="02070603080606020203" pitchFamily="18" charset="0"/>
            <a:cs typeface="Aharoni" panose="02010803020104030203" pitchFamily="2" charset="-79"/>
          </a:endParaRPr>
        </a:p>
      </xdr:txBody>
    </xdr:sp>
    <xdr:clientData/>
  </xdr:twoCellAnchor>
  <xdr:twoCellAnchor>
    <xdr:from>
      <xdr:col>0</xdr:col>
      <xdr:colOff>47626</xdr:colOff>
      <xdr:row>14</xdr:row>
      <xdr:rowOff>85727</xdr:rowOff>
    </xdr:from>
    <xdr:to>
      <xdr:col>3</xdr:col>
      <xdr:colOff>1</xdr:colOff>
      <xdr:row>22</xdr:row>
      <xdr:rowOff>38101</xdr:rowOff>
    </xdr:to>
    <xdr:sp macro="" textlink="">
      <xdr:nvSpPr>
        <xdr:cNvPr id="36" name="Rectangle 35">
          <a:extLst>
            <a:ext uri="{FF2B5EF4-FFF2-40B4-BE49-F238E27FC236}">
              <a16:creationId xmlns:a16="http://schemas.microsoft.com/office/drawing/2014/main" id="{C3A604C2-0824-4FD5-9F2F-F6B4C08D0599}"/>
            </a:ext>
          </a:extLst>
        </xdr:cNvPr>
        <xdr:cNvSpPr/>
      </xdr:nvSpPr>
      <xdr:spPr>
        <a:xfrm>
          <a:off x="47626" y="2752727"/>
          <a:ext cx="1781175" cy="1476374"/>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700"/>
        </a:p>
      </xdr:txBody>
    </xdr:sp>
    <xdr:clientData/>
  </xdr:twoCellAnchor>
  <xdr:oneCellAnchor>
    <xdr:from>
      <xdr:col>0</xdr:col>
      <xdr:colOff>57151</xdr:colOff>
      <xdr:row>14</xdr:row>
      <xdr:rowOff>99683</xdr:rowOff>
    </xdr:from>
    <xdr:ext cx="1781175" cy="259174"/>
    <xdr:sp macro="" textlink="">
      <xdr:nvSpPr>
        <xdr:cNvPr id="37" name="TextBox 36">
          <a:extLst>
            <a:ext uri="{FF2B5EF4-FFF2-40B4-BE49-F238E27FC236}">
              <a16:creationId xmlns:a16="http://schemas.microsoft.com/office/drawing/2014/main" id="{8886088C-BFD3-4AA1-B864-0B6D8538F068}"/>
            </a:ext>
          </a:extLst>
        </xdr:cNvPr>
        <xdr:cNvSpPr txBox="1"/>
      </xdr:nvSpPr>
      <xdr:spPr>
        <a:xfrm>
          <a:off x="57151" y="2766683"/>
          <a:ext cx="1781175" cy="25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100" b="0" cap="none" spc="0">
              <a:ln w="0"/>
              <a:solidFill>
                <a:schemeClr val="bg1"/>
              </a:solidFill>
              <a:effectLst>
                <a:glow rad="139700">
                  <a:schemeClr val="accent2">
                    <a:satMod val="175000"/>
                    <a:alpha val="40000"/>
                  </a:schemeClr>
                </a:glow>
                <a:reflection blurRad="6350" stA="53000" endA="300" endPos="35500" dir="5400000" sy="-90000" algn="bl" rotWithShape="0"/>
              </a:effectLst>
              <a:latin typeface="Bodoni Bd BT" panose="02070803080706020303" pitchFamily="18" charset="0"/>
            </a:rPr>
            <a:t>Banyak Obyek</a:t>
          </a:r>
          <a:r>
            <a:rPr lang="en-ID" sz="1100" b="0" cap="none" spc="0">
              <a:ln w="0"/>
              <a:solidFill>
                <a:schemeClr val="bg1"/>
              </a:solidFill>
              <a:effectLst>
                <a:glow rad="139700">
                  <a:schemeClr val="accent6">
                    <a:satMod val="175000"/>
                    <a:alpha val="40000"/>
                  </a:schemeClr>
                </a:glow>
                <a:reflection blurRad="6350" stA="53000" endA="300" endPos="35500" dir="5400000" sy="-90000" algn="bl" rotWithShape="0"/>
              </a:effectLst>
              <a:latin typeface="Bodoni Bd BT" panose="02070803080706020303" pitchFamily="18" charset="0"/>
            </a:rPr>
            <a:t> </a:t>
          </a:r>
          <a:r>
            <a:rPr lang="en-ID" sz="1100" b="0" cap="none" spc="0">
              <a:ln w="0"/>
              <a:solidFill>
                <a:schemeClr val="bg1"/>
              </a:solidFill>
              <a:effectLst>
                <a:glow rad="139700">
                  <a:schemeClr val="accent2">
                    <a:satMod val="175000"/>
                    <a:alpha val="40000"/>
                  </a:schemeClr>
                </a:glow>
                <a:reflection blurRad="6350" stA="53000" endA="300" endPos="35500" dir="5400000" sy="-90000" algn="bl" rotWithShape="0"/>
              </a:effectLst>
              <a:latin typeface="Bodoni Bd BT" panose="02070803080706020303" pitchFamily="18" charset="0"/>
            </a:rPr>
            <a:t>Wisata</a:t>
          </a:r>
        </a:p>
      </xdr:txBody>
    </xdr:sp>
    <xdr:clientData/>
  </xdr:oneCellAnchor>
  <xdr:twoCellAnchor>
    <xdr:from>
      <xdr:col>0</xdr:col>
      <xdr:colOff>95251</xdr:colOff>
      <xdr:row>20</xdr:row>
      <xdr:rowOff>76200</xdr:rowOff>
    </xdr:from>
    <xdr:to>
      <xdr:col>1</xdr:col>
      <xdr:colOff>219076</xdr:colOff>
      <xdr:row>21</xdr:row>
      <xdr:rowOff>142875</xdr:rowOff>
    </xdr:to>
    <xdr:sp macro="" textlink="">
      <xdr:nvSpPr>
        <xdr:cNvPr id="38" name="Flowchart: Alternate Process 37">
          <a:extLst>
            <a:ext uri="{FF2B5EF4-FFF2-40B4-BE49-F238E27FC236}">
              <a16:creationId xmlns:a16="http://schemas.microsoft.com/office/drawing/2014/main" id="{F9787680-60F5-4BE4-B00D-67FD02774979}"/>
            </a:ext>
          </a:extLst>
        </xdr:cNvPr>
        <xdr:cNvSpPr/>
      </xdr:nvSpPr>
      <xdr:spPr>
        <a:xfrm>
          <a:off x="95251" y="3886200"/>
          <a:ext cx="733425" cy="257175"/>
        </a:xfrm>
        <a:prstGeom prst="flowChartAlternateProcess">
          <a:avLst/>
        </a:prstGeom>
        <a:solidFill>
          <a:srgbClr val="98406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D" sz="800">
              <a:latin typeface="Bodoni MT" panose="02070603080606020203" pitchFamily="18" charset="0"/>
            </a:rPr>
            <a:t>Sejarah</a:t>
          </a:r>
        </a:p>
      </xdr:txBody>
    </xdr:sp>
    <xdr:clientData/>
  </xdr:twoCellAnchor>
  <xdr:twoCellAnchor>
    <xdr:from>
      <xdr:col>0</xdr:col>
      <xdr:colOff>95251</xdr:colOff>
      <xdr:row>19</xdr:row>
      <xdr:rowOff>66675</xdr:rowOff>
    </xdr:from>
    <xdr:to>
      <xdr:col>1</xdr:col>
      <xdr:colOff>219076</xdr:colOff>
      <xdr:row>20</xdr:row>
      <xdr:rowOff>133350</xdr:rowOff>
    </xdr:to>
    <xdr:sp macro="" textlink="">
      <xdr:nvSpPr>
        <xdr:cNvPr id="39" name="Flowchart: Alternate Process 38">
          <a:extLst>
            <a:ext uri="{FF2B5EF4-FFF2-40B4-BE49-F238E27FC236}">
              <a16:creationId xmlns:a16="http://schemas.microsoft.com/office/drawing/2014/main" id="{825135B5-CFFF-4B44-B547-FC7FC98C627B}"/>
            </a:ext>
          </a:extLst>
        </xdr:cNvPr>
        <xdr:cNvSpPr/>
      </xdr:nvSpPr>
      <xdr:spPr>
        <a:xfrm>
          <a:off x="95251" y="3686175"/>
          <a:ext cx="733425" cy="257175"/>
        </a:xfrm>
        <a:prstGeom prst="flowChartAlternateProcess">
          <a:avLst/>
        </a:prstGeom>
        <a:solidFill>
          <a:srgbClr val="FF74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D" sz="800">
              <a:latin typeface="Bodoni MT" panose="02070603080606020203" pitchFamily="18" charset="0"/>
            </a:rPr>
            <a:t>Budaya</a:t>
          </a:r>
        </a:p>
      </xdr:txBody>
    </xdr:sp>
    <xdr:clientData/>
  </xdr:twoCellAnchor>
  <xdr:twoCellAnchor>
    <xdr:from>
      <xdr:col>0</xdr:col>
      <xdr:colOff>95251</xdr:colOff>
      <xdr:row>18</xdr:row>
      <xdr:rowOff>47625</xdr:rowOff>
    </xdr:from>
    <xdr:to>
      <xdr:col>1</xdr:col>
      <xdr:colOff>219076</xdr:colOff>
      <xdr:row>19</xdr:row>
      <xdr:rowOff>114300</xdr:rowOff>
    </xdr:to>
    <xdr:sp macro="" textlink="">
      <xdr:nvSpPr>
        <xdr:cNvPr id="40" name="Flowchart: Alternate Process 39">
          <a:extLst>
            <a:ext uri="{FF2B5EF4-FFF2-40B4-BE49-F238E27FC236}">
              <a16:creationId xmlns:a16="http://schemas.microsoft.com/office/drawing/2014/main" id="{067EC1CB-D962-42BE-A67F-36E10BE474C1}"/>
            </a:ext>
          </a:extLst>
        </xdr:cNvPr>
        <xdr:cNvSpPr/>
      </xdr:nvSpPr>
      <xdr:spPr>
        <a:xfrm>
          <a:off x="95251" y="3476625"/>
          <a:ext cx="733425" cy="257175"/>
        </a:xfrm>
        <a:prstGeom prst="flowChartAlternateProcess">
          <a:avLst/>
        </a:prstGeom>
        <a:solidFill>
          <a:srgbClr val="F646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D" sz="800">
              <a:latin typeface="Bodoni MT" panose="02070603080606020203" pitchFamily="18" charset="0"/>
            </a:rPr>
            <a:t>Edukasi</a:t>
          </a:r>
        </a:p>
      </xdr:txBody>
    </xdr:sp>
    <xdr:clientData/>
  </xdr:twoCellAnchor>
  <xdr:twoCellAnchor>
    <xdr:from>
      <xdr:col>0</xdr:col>
      <xdr:colOff>95251</xdr:colOff>
      <xdr:row>17</xdr:row>
      <xdr:rowOff>28575</xdr:rowOff>
    </xdr:from>
    <xdr:to>
      <xdr:col>1</xdr:col>
      <xdr:colOff>219076</xdr:colOff>
      <xdr:row>18</xdr:row>
      <xdr:rowOff>95250</xdr:rowOff>
    </xdr:to>
    <xdr:sp macro="" textlink="">
      <xdr:nvSpPr>
        <xdr:cNvPr id="41" name="Flowchart: Alternate Process 40">
          <a:extLst>
            <a:ext uri="{FF2B5EF4-FFF2-40B4-BE49-F238E27FC236}">
              <a16:creationId xmlns:a16="http://schemas.microsoft.com/office/drawing/2014/main" id="{F38C9374-98DC-48B4-9735-37AD200F3FD8}"/>
            </a:ext>
          </a:extLst>
        </xdr:cNvPr>
        <xdr:cNvSpPr/>
      </xdr:nvSpPr>
      <xdr:spPr>
        <a:xfrm>
          <a:off x="95251" y="3267075"/>
          <a:ext cx="733425" cy="257175"/>
        </a:xfrm>
        <a:prstGeom prst="flowChartAlternateProcess">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D" sz="800">
              <a:latin typeface="Bodoni MT" panose="02070603080606020203" pitchFamily="18" charset="0"/>
            </a:rPr>
            <a:t>Buatan</a:t>
          </a:r>
        </a:p>
      </xdr:txBody>
    </xdr:sp>
    <xdr:clientData/>
  </xdr:twoCellAnchor>
  <xdr:twoCellAnchor>
    <xdr:from>
      <xdr:col>0</xdr:col>
      <xdr:colOff>95251</xdr:colOff>
      <xdr:row>16</xdr:row>
      <xdr:rowOff>28575</xdr:rowOff>
    </xdr:from>
    <xdr:to>
      <xdr:col>1</xdr:col>
      <xdr:colOff>219076</xdr:colOff>
      <xdr:row>17</xdr:row>
      <xdr:rowOff>95250</xdr:rowOff>
    </xdr:to>
    <xdr:sp macro="" textlink="">
      <xdr:nvSpPr>
        <xdr:cNvPr id="42" name="Flowchart: Alternate Process 41">
          <a:extLst>
            <a:ext uri="{FF2B5EF4-FFF2-40B4-BE49-F238E27FC236}">
              <a16:creationId xmlns:a16="http://schemas.microsoft.com/office/drawing/2014/main" id="{1904AFF3-60FC-4F75-8F14-4E6BDC5959A1}"/>
            </a:ext>
          </a:extLst>
        </xdr:cNvPr>
        <xdr:cNvSpPr/>
      </xdr:nvSpPr>
      <xdr:spPr>
        <a:xfrm>
          <a:off x="95251" y="3076575"/>
          <a:ext cx="733425" cy="257175"/>
        </a:xfrm>
        <a:prstGeom prst="flowChartAlternateProcess">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D" sz="800">
              <a:latin typeface="Bodoni MT" panose="02070603080606020203" pitchFamily="18" charset="0"/>
            </a:rPr>
            <a:t>Alam</a:t>
          </a:r>
        </a:p>
      </xdr:txBody>
    </xdr:sp>
    <xdr:clientData/>
  </xdr:twoCellAnchor>
  <xdr:twoCellAnchor>
    <xdr:from>
      <xdr:col>1</xdr:col>
      <xdr:colOff>400051</xdr:colOff>
      <xdr:row>20</xdr:row>
      <xdr:rowOff>76200</xdr:rowOff>
    </xdr:from>
    <xdr:to>
      <xdr:col>2</xdr:col>
      <xdr:colOff>523876</xdr:colOff>
      <xdr:row>21</xdr:row>
      <xdr:rowOff>142875</xdr:rowOff>
    </xdr:to>
    <xdr:sp macro="" textlink="PivotTable!F17">
      <xdr:nvSpPr>
        <xdr:cNvPr id="43" name="Flowchart: Alternate Process 42">
          <a:extLst>
            <a:ext uri="{FF2B5EF4-FFF2-40B4-BE49-F238E27FC236}">
              <a16:creationId xmlns:a16="http://schemas.microsoft.com/office/drawing/2014/main" id="{296723E9-8D69-4FA4-9018-341792CD82CF}"/>
            </a:ext>
          </a:extLst>
        </xdr:cNvPr>
        <xdr:cNvSpPr/>
      </xdr:nvSpPr>
      <xdr:spPr>
        <a:xfrm>
          <a:off x="1009651" y="3886200"/>
          <a:ext cx="733425" cy="257175"/>
        </a:xfrm>
        <a:prstGeom prst="flowChartAlternateProcess">
          <a:avLst/>
        </a:prstGeom>
        <a:solidFill>
          <a:srgbClr val="98406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720FAC19-DB32-4755-BD07-22102C03C3D1}" type="TxLink">
            <a:rPr lang="en-US" sz="900" b="0" i="0" u="none" strike="noStrike">
              <a:solidFill>
                <a:schemeClr val="bg1"/>
              </a:solidFill>
              <a:latin typeface="Bodoni Bd BT" panose="02070803080706020303" pitchFamily="18" charset="0"/>
              <a:cs typeface="Calibri"/>
            </a:rPr>
            <a:pPr algn="ctr"/>
            <a:t>2</a:t>
          </a:fld>
          <a:endParaRPr lang="en-ID" sz="100">
            <a:solidFill>
              <a:schemeClr val="bg1"/>
            </a:solidFill>
            <a:latin typeface="Bodoni Bd BT" panose="02070803080706020303" pitchFamily="18" charset="0"/>
          </a:endParaRPr>
        </a:p>
      </xdr:txBody>
    </xdr:sp>
    <xdr:clientData/>
  </xdr:twoCellAnchor>
  <xdr:twoCellAnchor>
    <xdr:from>
      <xdr:col>1</xdr:col>
      <xdr:colOff>400051</xdr:colOff>
      <xdr:row>19</xdr:row>
      <xdr:rowOff>66675</xdr:rowOff>
    </xdr:from>
    <xdr:to>
      <xdr:col>2</xdr:col>
      <xdr:colOff>523876</xdr:colOff>
      <xdr:row>20</xdr:row>
      <xdr:rowOff>133350</xdr:rowOff>
    </xdr:to>
    <xdr:sp macro="" textlink="PivotTable!E17">
      <xdr:nvSpPr>
        <xdr:cNvPr id="44" name="Flowchart: Alternate Process 43">
          <a:extLst>
            <a:ext uri="{FF2B5EF4-FFF2-40B4-BE49-F238E27FC236}">
              <a16:creationId xmlns:a16="http://schemas.microsoft.com/office/drawing/2014/main" id="{D93E94C4-DF72-4DB1-87B2-8D8FAD166BBB}"/>
            </a:ext>
          </a:extLst>
        </xdr:cNvPr>
        <xdr:cNvSpPr/>
      </xdr:nvSpPr>
      <xdr:spPr>
        <a:xfrm>
          <a:off x="1009651" y="3686175"/>
          <a:ext cx="733425" cy="257175"/>
        </a:xfrm>
        <a:prstGeom prst="flowChartAlternateProcess">
          <a:avLst/>
        </a:prstGeom>
        <a:solidFill>
          <a:srgbClr val="FF743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F56F7C73-733F-43CF-9848-9477D67C2C4B}" type="TxLink">
            <a:rPr lang="en-US" sz="900" b="0" i="0" u="none" strike="noStrike">
              <a:solidFill>
                <a:schemeClr val="bg1"/>
              </a:solidFill>
              <a:latin typeface="Bodoni Bd BT" panose="02070803080706020303" pitchFamily="18" charset="0"/>
              <a:cs typeface="Calibri"/>
            </a:rPr>
            <a:pPr algn="ctr"/>
            <a:t>1</a:t>
          </a:fld>
          <a:endParaRPr lang="en-ID" sz="100">
            <a:solidFill>
              <a:schemeClr val="bg1"/>
            </a:solidFill>
            <a:latin typeface="Bodoni Bd BT" panose="02070803080706020303" pitchFamily="18" charset="0"/>
          </a:endParaRPr>
        </a:p>
      </xdr:txBody>
    </xdr:sp>
    <xdr:clientData/>
  </xdr:twoCellAnchor>
  <xdr:twoCellAnchor>
    <xdr:from>
      <xdr:col>1</xdr:col>
      <xdr:colOff>400051</xdr:colOff>
      <xdr:row>18</xdr:row>
      <xdr:rowOff>47625</xdr:rowOff>
    </xdr:from>
    <xdr:to>
      <xdr:col>2</xdr:col>
      <xdr:colOff>523876</xdr:colOff>
      <xdr:row>19</xdr:row>
      <xdr:rowOff>114300</xdr:rowOff>
    </xdr:to>
    <xdr:sp macro="" textlink="PivotTable!D17">
      <xdr:nvSpPr>
        <xdr:cNvPr id="45" name="Flowchart: Alternate Process 44">
          <a:extLst>
            <a:ext uri="{FF2B5EF4-FFF2-40B4-BE49-F238E27FC236}">
              <a16:creationId xmlns:a16="http://schemas.microsoft.com/office/drawing/2014/main" id="{0E6DB8EB-D2E7-4896-B9C5-2D7CB64468A0}"/>
            </a:ext>
          </a:extLst>
        </xdr:cNvPr>
        <xdr:cNvSpPr/>
      </xdr:nvSpPr>
      <xdr:spPr>
        <a:xfrm>
          <a:off x="1009651" y="3476625"/>
          <a:ext cx="733425" cy="257175"/>
        </a:xfrm>
        <a:prstGeom prst="flowChartAlternateProcess">
          <a:avLst/>
        </a:prstGeom>
        <a:solidFill>
          <a:srgbClr val="F6466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5ACC0710-73E2-4F64-8AF3-39A28F4782F1}" type="TxLink">
            <a:rPr lang="en-US" sz="900" b="0" i="0" u="none" strike="noStrike">
              <a:solidFill>
                <a:schemeClr val="bg1"/>
              </a:solidFill>
              <a:latin typeface="Bodoni Bd BT" panose="02070803080706020303" pitchFamily="18" charset="0"/>
              <a:cs typeface="Calibri"/>
            </a:rPr>
            <a:pPr algn="ctr"/>
            <a:t>0</a:t>
          </a:fld>
          <a:endParaRPr lang="en-ID" sz="100">
            <a:solidFill>
              <a:schemeClr val="bg1"/>
            </a:solidFill>
            <a:latin typeface="Bodoni Bd BT" panose="02070803080706020303" pitchFamily="18" charset="0"/>
          </a:endParaRPr>
        </a:p>
      </xdr:txBody>
    </xdr:sp>
    <xdr:clientData/>
  </xdr:twoCellAnchor>
  <xdr:twoCellAnchor>
    <xdr:from>
      <xdr:col>1</xdr:col>
      <xdr:colOff>400051</xdr:colOff>
      <xdr:row>17</xdr:row>
      <xdr:rowOff>28575</xdr:rowOff>
    </xdr:from>
    <xdr:to>
      <xdr:col>2</xdr:col>
      <xdr:colOff>523876</xdr:colOff>
      <xdr:row>18</xdr:row>
      <xdr:rowOff>95250</xdr:rowOff>
    </xdr:to>
    <xdr:sp macro="" textlink="PivotTable!C17">
      <xdr:nvSpPr>
        <xdr:cNvPr id="46" name="Flowchart: Alternate Process 45">
          <a:extLst>
            <a:ext uri="{FF2B5EF4-FFF2-40B4-BE49-F238E27FC236}">
              <a16:creationId xmlns:a16="http://schemas.microsoft.com/office/drawing/2014/main" id="{89F83C43-425F-44A1-B1A9-560B4BF60621}"/>
            </a:ext>
          </a:extLst>
        </xdr:cNvPr>
        <xdr:cNvSpPr/>
      </xdr:nvSpPr>
      <xdr:spPr>
        <a:xfrm>
          <a:off x="1009651" y="3267075"/>
          <a:ext cx="733425" cy="257175"/>
        </a:xfrm>
        <a:prstGeom prst="flowChartAlternateProcess">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28571FE-6C7B-4A56-AD12-FFBB4618DE29}" type="TxLink">
            <a:rPr lang="en-US" sz="900" b="0" i="0" u="none" strike="noStrike">
              <a:solidFill>
                <a:schemeClr val="bg1"/>
              </a:solidFill>
              <a:latin typeface="Bodoni Bd BT" panose="02070803080706020303" pitchFamily="18" charset="0"/>
              <a:cs typeface="Calibri"/>
            </a:rPr>
            <a:pPr algn="ctr"/>
            <a:t>4</a:t>
          </a:fld>
          <a:endParaRPr lang="en-ID" sz="100">
            <a:solidFill>
              <a:schemeClr val="bg1"/>
            </a:solidFill>
            <a:latin typeface="Bodoni Bd BT" panose="02070803080706020303" pitchFamily="18" charset="0"/>
          </a:endParaRPr>
        </a:p>
      </xdr:txBody>
    </xdr:sp>
    <xdr:clientData/>
  </xdr:twoCellAnchor>
  <xdr:twoCellAnchor>
    <xdr:from>
      <xdr:col>1</xdr:col>
      <xdr:colOff>400051</xdr:colOff>
      <xdr:row>16</xdr:row>
      <xdr:rowOff>28575</xdr:rowOff>
    </xdr:from>
    <xdr:to>
      <xdr:col>2</xdr:col>
      <xdr:colOff>523876</xdr:colOff>
      <xdr:row>17</xdr:row>
      <xdr:rowOff>95250</xdr:rowOff>
    </xdr:to>
    <xdr:sp macro="" textlink="PivotTable!B17">
      <xdr:nvSpPr>
        <xdr:cNvPr id="47" name="Flowchart: Alternate Process 46">
          <a:extLst>
            <a:ext uri="{FF2B5EF4-FFF2-40B4-BE49-F238E27FC236}">
              <a16:creationId xmlns:a16="http://schemas.microsoft.com/office/drawing/2014/main" id="{1157962C-3E09-463B-80A2-C6417C09A8F4}"/>
            </a:ext>
          </a:extLst>
        </xdr:cNvPr>
        <xdr:cNvSpPr/>
      </xdr:nvSpPr>
      <xdr:spPr>
        <a:xfrm>
          <a:off x="1009651" y="3076575"/>
          <a:ext cx="733425" cy="257175"/>
        </a:xfrm>
        <a:prstGeom prst="flowChartAlternateProcess">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D07682AA-0A27-43FB-8834-DE9D7F3F470D}" type="TxLink">
            <a:rPr lang="en-US" sz="900" b="0" i="0" u="none" strike="noStrike">
              <a:solidFill>
                <a:schemeClr val="bg1"/>
              </a:solidFill>
              <a:latin typeface="Bodoni Bd BT" panose="02070803080706020303" pitchFamily="18" charset="0"/>
              <a:cs typeface="Calibri"/>
            </a:rPr>
            <a:pPr algn="ctr"/>
            <a:t>10</a:t>
          </a:fld>
          <a:endParaRPr lang="en-ID" sz="100" i="0">
            <a:solidFill>
              <a:schemeClr val="bg1"/>
            </a:solidFill>
            <a:latin typeface="Bodoni Bd BT" panose="02070803080706020303" pitchFamily="18" charset="0"/>
          </a:endParaRPr>
        </a:p>
      </xdr:txBody>
    </xdr:sp>
    <xdr:clientData/>
  </xdr:twoCellAnchor>
  <xdr:twoCellAnchor>
    <xdr:from>
      <xdr:col>3</xdr:col>
      <xdr:colOff>57151</xdr:colOff>
      <xdr:row>12</xdr:row>
      <xdr:rowOff>114300</xdr:rowOff>
    </xdr:from>
    <xdr:to>
      <xdr:col>11</xdr:col>
      <xdr:colOff>114301</xdr:colOff>
      <xdr:row>22</xdr:row>
      <xdr:rowOff>38101</xdr:rowOff>
    </xdr:to>
    <xdr:sp macro="" textlink="">
      <xdr:nvSpPr>
        <xdr:cNvPr id="48" name="Rectangle 47">
          <a:extLst>
            <a:ext uri="{FF2B5EF4-FFF2-40B4-BE49-F238E27FC236}">
              <a16:creationId xmlns:a16="http://schemas.microsoft.com/office/drawing/2014/main" id="{1B744B0F-2E3F-435D-860B-0619F0586C7B}"/>
            </a:ext>
          </a:extLst>
        </xdr:cNvPr>
        <xdr:cNvSpPr/>
      </xdr:nvSpPr>
      <xdr:spPr>
        <a:xfrm>
          <a:off x="1883910" y="2400300"/>
          <a:ext cx="4928507" cy="1828801"/>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700"/>
        </a:p>
      </xdr:txBody>
    </xdr:sp>
    <xdr:clientData/>
  </xdr:twoCellAnchor>
  <xdr:oneCellAnchor>
    <xdr:from>
      <xdr:col>3</xdr:col>
      <xdr:colOff>95250</xdr:colOff>
      <xdr:row>12</xdr:row>
      <xdr:rowOff>178384</xdr:rowOff>
    </xdr:from>
    <xdr:ext cx="4914901" cy="254172"/>
    <xdr:sp macro="" textlink="">
      <xdr:nvSpPr>
        <xdr:cNvPr id="49" name="TextBox 48">
          <a:extLst>
            <a:ext uri="{FF2B5EF4-FFF2-40B4-BE49-F238E27FC236}">
              <a16:creationId xmlns:a16="http://schemas.microsoft.com/office/drawing/2014/main" id="{78F1F1A3-2296-43D9-8610-E6ACD327D77C}"/>
            </a:ext>
          </a:extLst>
        </xdr:cNvPr>
        <xdr:cNvSpPr txBox="1"/>
      </xdr:nvSpPr>
      <xdr:spPr>
        <a:xfrm>
          <a:off x="1924050" y="2464384"/>
          <a:ext cx="4914901" cy="254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050" b="0" cap="none" spc="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rPr>
            <a:t>Jumlah</a:t>
          </a:r>
          <a:r>
            <a:rPr lang="en-ID" sz="1050" b="0" cap="none" spc="0" baseline="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rPr>
            <a:t> Penduduk dan Banyak Tempat Peribadatan berdasarkan Agama</a:t>
          </a:r>
          <a:endParaRPr lang="en-ID" sz="1050" b="0" cap="none" spc="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endParaRPr>
        </a:p>
      </xdr:txBody>
    </xdr:sp>
    <xdr:clientData/>
  </xdr:oneCellAnchor>
  <xdr:oneCellAnchor>
    <xdr:from>
      <xdr:col>9</xdr:col>
      <xdr:colOff>53425</xdr:colOff>
      <xdr:row>14</xdr:row>
      <xdr:rowOff>119290</xdr:rowOff>
    </xdr:from>
    <xdr:ext cx="828676" cy="311496"/>
    <xdr:sp macro="" textlink="">
      <xdr:nvSpPr>
        <xdr:cNvPr id="50" name="TextBox 49">
          <a:extLst>
            <a:ext uri="{FF2B5EF4-FFF2-40B4-BE49-F238E27FC236}">
              <a16:creationId xmlns:a16="http://schemas.microsoft.com/office/drawing/2014/main" id="{293BD309-9092-4877-A0F8-90280BF35504}"/>
            </a:ext>
          </a:extLst>
        </xdr:cNvPr>
        <xdr:cNvSpPr txBox="1"/>
      </xdr:nvSpPr>
      <xdr:spPr>
        <a:xfrm>
          <a:off x="5539825" y="2786290"/>
          <a:ext cx="828676"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accent6">
                  <a:lumMod val="60000"/>
                  <a:lumOff val="40000"/>
                </a:schemeClr>
              </a:solidFill>
              <a:effectLst/>
              <a:latin typeface="+mj-lt"/>
            </a:rPr>
            <a:t>Jumlah </a:t>
          </a:r>
        </a:p>
        <a:p>
          <a:pPr algn="l"/>
          <a:r>
            <a:rPr lang="en-ID" sz="700" b="1" cap="none" spc="0">
              <a:ln w="0"/>
              <a:solidFill>
                <a:schemeClr val="accent6">
                  <a:lumMod val="60000"/>
                  <a:lumOff val="40000"/>
                </a:schemeClr>
              </a:solidFill>
              <a:effectLst/>
              <a:latin typeface="+mj-lt"/>
            </a:rPr>
            <a:t>Penduduk</a:t>
          </a:r>
        </a:p>
      </xdr:txBody>
    </xdr:sp>
    <xdr:clientData/>
  </xdr:oneCellAnchor>
  <xdr:oneCellAnchor>
    <xdr:from>
      <xdr:col>10</xdr:col>
      <xdr:colOff>10209</xdr:colOff>
      <xdr:row>14</xdr:row>
      <xdr:rowOff>112182</xdr:rowOff>
    </xdr:from>
    <xdr:ext cx="752474" cy="311496"/>
    <xdr:sp macro="" textlink="">
      <xdr:nvSpPr>
        <xdr:cNvPr id="51" name="TextBox 50">
          <a:extLst>
            <a:ext uri="{FF2B5EF4-FFF2-40B4-BE49-F238E27FC236}">
              <a16:creationId xmlns:a16="http://schemas.microsoft.com/office/drawing/2014/main" id="{872C9060-7010-424A-B354-D6A69E6E9F21}"/>
            </a:ext>
          </a:extLst>
        </xdr:cNvPr>
        <xdr:cNvSpPr txBox="1"/>
      </xdr:nvSpPr>
      <xdr:spPr>
        <a:xfrm>
          <a:off x="6106209" y="2779182"/>
          <a:ext cx="752474"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rgbClr val="00B0F0"/>
              </a:solidFill>
              <a:effectLst>
                <a:outerShdw blurRad="50800" dist="38100" dir="8100000" algn="tr" rotWithShape="0">
                  <a:prstClr val="black">
                    <a:alpha val="40000"/>
                  </a:prstClr>
                </a:outerShdw>
              </a:effectLst>
              <a:latin typeface="+mj-lt"/>
            </a:rPr>
            <a:t>Banyak Tempat Peribadatan</a:t>
          </a:r>
        </a:p>
      </xdr:txBody>
    </xdr:sp>
    <xdr:clientData/>
  </xdr:oneCellAnchor>
  <xdr:oneCellAnchor>
    <xdr:from>
      <xdr:col>8</xdr:col>
      <xdr:colOff>285892</xdr:colOff>
      <xdr:row>16</xdr:row>
      <xdr:rowOff>49428</xdr:rowOff>
    </xdr:from>
    <xdr:ext cx="514351" cy="201915"/>
    <xdr:sp macro="" textlink="">
      <xdr:nvSpPr>
        <xdr:cNvPr id="52" name="TextBox 51">
          <a:extLst>
            <a:ext uri="{FF2B5EF4-FFF2-40B4-BE49-F238E27FC236}">
              <a16:creationId xmlns:a16="http://schemas.microsoft.com/office/drawing/2014/main" id="{BA0AC338-4071-4487-98AA-89206B209B3C}"/>
            </a:ext>
          </a:extLst>
        </xdr:cNvPr>
        <xdr:cNvSpPr txBox="1"/>
      </xdr:nvSpPr>
      <xdr:spPr>
        <a:xfrm>
          <a:off x="5158296" y="3126736"/>
          <a:ext cx="514351"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Islam</a:t>
          </a:r>
        </a:p>
      </xdr:txBody>
    </xdr:sp>
    <xdr:clientData/>
  </xdr:oneCellAnchor>
  <xdr:oneCellAnchor>
    <xdr:from>
      <xdr:col>8</xdr:col>
      <xdr:colOff>274318</xdr:colOff>
      <xdr:row>17</xdr:row>
      <xdr:rowOff>678</xdr:rowOff>
    </xdr:from>
    <xdr:ext cx="638176" cy="201915"/>
    <xdr:sp macro="" textlink="">
      <xdr:nvSpPr>
        <xdr:cNvPr id="53" name="TextBox 52">
          <a:extLst>
            <a:ext uri="{FF2B5EF4-FFF2-40B4-BE49-F238E27FC236}">
              <a16:creationId xmlns:a16="http://schemas.microsoft.com/office/drawing/2014/main" id="{BE7B4E6B-C1F7-4DB4-92FF-BC6D473A9987}"/>
            </a:ext>
          </a:extLst>
        </xdr:cNvPr>
        <xdr:cNvSpPr txBox="1"/>
      </xdr:nvSpPr>
      <xdr:spPr>
        <a:xfrm>
          <a:off x="5146722" y="3270317"/>
          <a:ext cx="63817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Protestan</a:t>
          </a:r>
        </a:p>
      </xdr:txBody>
    </xdr:sp>
    <xdr:clientData/>
  </xdr:oneCellAnchor>
  <xdr:oneCellAnchor>
    <xdr:from>
      <xdr:col>8</xdr:col>
      <xdr:colOff>273722</xdr:colOff>
      <xdr:row>17</xdr:row>
      <xdr:rowOff>139437</xdr:rowOff>
    </xdr:from>
    <xdr:ext cx="638176" cy="201915"/>
    <xdr:sp macro="" textlink="">
      <xdr:nvSpPr>
        <xdr:cNvPr id="54" name="TextBox 53">
          <a:extLst>
            <a:ext uri="{FF2B5EF4-FFF2-40B4-BE49-F238E27FC236}">
              <a16:creationId xmlns:a16="http://schemas.microsoft.com/office/drawing/2014/main" id="{1E404933-4486-4AF2-9947-4C8CA2F28183}"/>
            </a:ext>
          </a:extLst>
        </xdr:cNvPr>
        <xdr:cNvSpPr txBox="1"/>
      </xdr:nvSpPr>
      <xdr:spPr>
        <a:xfrm>
          <a:off x="5146126" y="3409076"/>
          <a:ext cx="63817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Katolik</a:t>
          </a:r>
        </a:p>
      </xdr:txBody>
    </xdr:sp>
    <xdr:clientData/>
  </xdr:oneCellAnchor>
  <xdr:oneCellAnchor>
    <xdr:from>
      <xdr:col>8</xdr:col>
      <xdr:colOff>269859</xdr:colOff>
      <xdr:row>18</xdr:row>
      <xdr:rowOff>101922</xdr:rowOff>
    </xdr:from>
    <xdr:ext cx="638176" cy="201915"/>
    <xdr:sp macro="" textlink="">
      <xdr:nvSpPr>
        <xdr:cNvPr id="55" name="TextBox 54">
          <a:extLst>
            <a:ext uri="{FF2B5EF4-FFF2-40B4-BE49-F238E27FC236}">
              <a16:creationId xmlns:a16="http://schemas.microsoft.com/office/drawing/2014/main" id="{FFA1D088-5C8B-4CCF-A61B-E9129AE3AB6C}"/>
            </a:ext>
          </a:extLst>
        </xdr:cNvPr>
        <xdr:cNvSpPr txBox="1"/>
      </xdr:nvSpPr>
      <xdr:spPr>
        <a:xfrm>
          <a:off x="5142263" y="3563893"/>
          <a:ext cx="63817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Hindu</a:t>
          </a:r>
        </a:p>
      </xdr:txBody>
    </xdr:sp>
    <xdr:clientData/>
  </xdr:oneCellAnchor>
  <xdr:oneCellAnchor>
    <xdr:from>
      <xdr:col>8</xdr:col>
      <xdr:colOff>276660</xdr:colOff>
      <xdr:row>19</xdr:row>
      <xdr:rowOff>59685</xdr:rowOff>
    </xdr:from>
    <xdr:ext cx="638176" cy="201915"/>
    <xdr:sp macro="" textlink="">
      <xdr:nvSpPr>
        <xdr:cNvPr id="56" name="TextBox 55">
          <a:extLst>
            <a:ext uri="{FF2B5EF4-FFF2-40B4-BE49-F238E27FC236}">
              <a16:creationId xmlns:a16="http://schemas.microsoft.com/office/drawing/2014/main" id="{6EFDCB86-0752-46FC-B5F5-1E005E62536C}"/>
            </a:ext>
          </a:extLst>
        </xdr:cNvPr>
        <xdr:cNvSpPr txBox="1"/>
      </xdr:nvSpPr>
      <xdr:spPr>
        <a:xfrm>
          <a:off x="5149064" y="3713988"/>
          <a:ext cx="63817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Buddha</a:t>
          </a:r>
          <a:endParaRPr lang="en-ID" sz="800" b="1" cap="none" spc="0">
            <a:ln w="0"/>
            <a:solidFill>
              <a:schemeClr val="bg2">
                <a:lumMod val="75000"/>
              </a:schemeClr>
            </a:solidFill>
            <a:effectLst/>
            <a:latin typeface="+mj-lt"/>
          </a:endParaRPr>
        </a:p>
      </xdr:txBody>
    </xdr:sp>
    <xdr:clientData/>
  </xdr:oneCellAnchor>
  <xdr:oneCellAnchor>
    <xdr:from>
      <xdr:col>8</xdr:col>
      <xdr:colOff>277992</xdr:colOff>
      <xdr:row>20</xdr:row>
      <xdr:rowOff>17437</xdr:rowOff>
    </xdr:from>
    <xdr:ext cx="638176" cy="201915"/>
    <xdr:sp macro="" textlink="">
      <xdr:nvSpPr>
        <xdr:cNvPr id="57" name="TextBox 56">
          <a:extLst>
            <a:ext uri="{FF2B5EF4-FFF2-40B4-BE49-F238E27FC236}">
              <a16:creationId xmlns:a16="http://schemas.microsoft.com/office/drawing/2014/main" id="{8B1B0850-88A9-4C91-978C-68D3DE22A011}"/>
            </a:ext>
          </a:extLst>
        </xdr:cNvPr>
        <xdr:cNvSpPr txBox="1"/>
      </xdr:nvSpPr>
      <xdr:spPr>
        <a:xfrm>
          <a:off x="5150396" y="3864072"/>
          <a:ext cx="63817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700" b="1" cap="none" spc="0">
              <a:ln w="0"/>
              <a:solidFill>
                <a:schemeClr val="bg2">
                  <a:lumMod val="75000"/>
                </a:schemeClr>
              </a:solidFill>
              <a:effectLst/>
              <a:latin typeface="+mj-lt"/>
            </a:rPr>
            <a:t>Konghucu</a:t>
          </a:r>
          <a:endParaRPr lang="en-ID" sz="800" b="1" cap="none" spc="0">
            <a:ln w="0"/>
            <a:solidFill>
              <a:schemeClr val="bg2">
                <a:lumMod val="75000"/>
              </a:schemeClr>
            </a:solidFill>
            <a:effectLst/>
            <a:latin typeface="+mj-lt"/>
          </a:endParaRPr>
        </a:p>
      </xdr:txBody>
    </xdr:sp>
    <xdr:clientData/>
  </xdr:oneCellAnchor>
  <xdr:oneCellAnchor>
    <xdr:from>
      <xdr:col>8</xdr:col>
      <xdr:colOff>229053</xdr:colOff>
      <xdr:row>20</xdr:row>
      <xdr:rowOff>164470</xdr:rowOff>
    </xdr:from>
    <xdr:ext cx="727514" cy="201915"/>
    <xdr:sp macro="" textlink="">
      <xdr:nvSpPr>
        <xdr:cNvPr id="58" name="TextBox 57">
          <a:extLst>
            <a:ext uri="{FF2B5EF4-FFF2-40B4-BE49-F238E27FC236}">
              <a16:creationId xmlns:a16="http://schemas.microsoft.com/office/drawing/2014/main" id="{8A327D11-E06B-4CCA-A166-8DA5A538EF34}"/>
            </a:ext>
          </a:extLst>
        </xdr:cNvPr>
        <xdr:cNvSpPr txBox="1"/>
      </xdr:nvSpPr>
      <xdr:spPr>
        <a:xfrm>
          <a:off x="5101457" y="4011105"/>
          <a:ext cx="727514"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700" b="1" cap="none" spc="0">
              <a:ln w="0"/>
              <a:solidFill>
                <a:schemeClr val="bg2">
                  <a:lumMod val="75000"/>
                </a:schemeClr>
              </a:solidFill>
              <a:effectLst/>
              <a:latin typeface="+mj-lt"/>
            </a:rPr>
            <a:t>Kepercayaan</a:t>
          </a:r>
        </a:p>
      </xdr:txBody>
    </xdr:sp>
    <xdr:clientData/>
  </xdr:oneCellAnchor>
  <xdr:twoCellAnchor>
    <xdr:from>
      <xdr:col>9</xdr:col>
      <xdr:colOff>136488</xdr:colOff>
      <xdr:row>16</xdr:row>
      <xdr:rowOff>58983</xdr:rowOff>
    </xdr:from>
    <xdr:to>
      <xdr:col>10</xdr:col>
      <xdr:colOff>41238</xdr:colOff>
      <xdr:row>17</xdr:row>
      <xdr:rowOff>20880</xdr:rowOff>
    </xdr:to>
    <xdr:sp macro="" textlink="PivotTable!B24">
      <xdr:nvSpPr>
        <xdr:cNvPr id="59" name="Rectangle 58">
          <a:extLst>
            <a:ext uri="{FF2B5EF4-FFF2-40B4-BE49-F238E27FC236}">
              <a16:creationId xmlns:a16="http://schemas.microsoft.com/office/drawing/2014/main" id="{496E6DC9-FD58-4905-AF2A-D595E0D003D3}"/>
            </a:ext>
          </a:extLst>
        </xdr:cNvPr>
        <xdr:cNvSpPr/>
      </xdr:nvSpPr>
      <xdr:spPr>
        <a:xfrm>
          <a:off x="5583597" y="3075233"/>
          <a:ext cx="509985" cy="150413"/>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9883DFAE-48DB-4717-AC0B-75685B720F57}" type="TxLink">
            <a:rPr lang="en-US" sz="700" b="0" i="0" u="none" strike="noStrike">
              <a:solidFill>
                <a:srgbClr val="92D050"/>
              </a:solidFill>
              <a:latin typeface="Calibri"/>
              <a:cs typeface="Calibri"/>
            </a:rPr>
            <a:pPr algn="ctr"/>
            <a:t>57255</a:t>
          </a:fld>
          <a:endParaRPr lang="en-US" sz="500" b="0">
            <a:solidFill>
              <a:srgbClr val="92D050"/>
            </a:solidFill>
            <a:latin typeface="Berlin Sans FB" panose="020E0602020502020306" pitchFamily="34" charset="0"/>
          </a:endParaRPr>
        </a:p>
      </xdr:txBody>
    </xdr:sp>
    <xdr:clientData/>
  </xdr:twoCellAnchor>
  <xdr:twoCellAnchor>
    <xdr:from>
      <xdr:col>9</xdr:col>
      <xdr:colOff>175267</xdr:colOff>
      <xdr:row>16</xdr:row>
      <xdr:rowOff>33976</xdr:rowOff>
    </xdr:from>
    <xdr:to>
      <xdr:col>10</xdr:col>
      <xdr:colOff>534255</xdr:colOff>
      <xdr:row>16</xdr:row>
      <xdr:rowOff>34260</xdr:rowOff>
    </xdr:to>
    <xdr:cxnSp macro="">
      <xdr:nvCxnSpPr>
        <xdr:cNvPr id="74" name="Straight Connector 73">
          <a:extLst>
            <a:ext uri="{FF2B5EF4-FFF2-40B4-BE49-F238E27FC236}">
              <a16:creationId xmlns:a16="http://schemas.microsoft.com/office/drawing/2014/main" id="{1FB0B88A-BE6A-420C-B3B9-72AF276A688E}"/>
            </a:ext>
          </a:extLst>
        </xdr:cNvPr>
        <xdr:cNvCxnSpPr/>
      </xdr:nvCxnSpPr>
      <xdr:spPr>
        <a:xfrm flipH="1" flipV="1">
          <a:off x="5661667" y="3081976"/>
          <a:ext cx="968588" cy="284"/>
        </a:xfrm>
        <a:prstGeom prst="line">
          <a:avLst/>
        </a:prstGeom>
        <a:ln w="9525" cap="flat" cmpd="sng" algn="ctr">
          <a:solidFill>
            <a:schemeClr val="accent3"/>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xdr:from>
      <xdr:col>11</xdr:col>
      <xdr:colOff>152401</xdr:colOff>
      <xdr:row>0</xdr:row>
      <xdr:rowOff>66676</xdr:rowOff>
    </xdr:from>
    <xdr:to>
      <xdr:col>15</xdr:col>
      <xdr:colOff>590550</xdr:colOff>
      <xdr:row>11</xdr:row>
      <xdr:rowOff>47626</xdr:rowOff>
    </xdr:to>
    <xdr:sp macro="" textlink="">
      <xdr:nvSpPr>
        <xdr:cNvPr id="80" name="Rectangle 79">
          <a:extLst>
            <a:ext uri="{FF2B5EF4-FFF2-40B4-BE49-F238E27FC236}">
              <a16:creationId xmlns:a16="http://schemas.microsoft.com/office/drawing/2014/main" id="{651EE97D-CB71-437F-8BC0-4BF434A6A981}"/>
            </a:ext>
          </a:extLst>
        </xdr:cNvPr>
        <xdr:cNvSpPr/>
      </xdr:nvSpPr>
      <xdr:spPr>
        <a:xfrm>
          <a:off x="6858001" y="66676"/>
          <a:ext cx="2876549" cy="20764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11</xdr:col>
      <xdr:colOff>161926</xdr:colOff>
      <xdr:row>11</xdr:row>
      <xdr:rowOff>95251</xdr:rowOff>
    </xdr:from>
    <xdr:to>
      <xdr:col>17</xdr:col>
      <xdr:colOff>123826</xdr:colOff>
      <xdr:row>22</xdr:row>
      <xdr:rowOff>38101</xdr:rowOff>
    </xdr:to>
    <xdr:sp macro="" textlink="">
      <xdr:nvSpPr>
        <xdr:cNvPr id="81" name="Rectangle 80">
          <a:extLst>
            <a:ext uri="{FF2B5EF4-FFF2-40B4-BE49-F238E27FC236}">
              <a16:creationId xmlns:a16="http://schemas.microsoft.com/office/drawing/2014/main" id="{37C9F415-5632-4E15-93BB-B092232D1E32}"/>
            </a:ext>
          </a:extLst>
        </xdr:cNvPr>
        <xdr:cNvSpPr/>
      </xdr:nvSpPr>
      <xdr:spPr>
        <a:xfrm>
          <a:off x="6867526" y="2190751"/>
          <a:ext cx="3619500" cy="20383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17</xdr:col>
      <xdr:colOff>171451</xdr:colOff>
      <xdr:row>11</xdr:row>
      <xdr:rowOff>95251</xdr:rowOff>
    </xdr:from>
    <xdr:to>
      <xdr:col>20</xdr:col>
      <xdr:colOff>247651</xdr:colOff>
      <xdr:row>22</xdr:row>
      <xdr:rowOff>38101</xdr:rowOff>
    </xdr:to>
    <xdr:sp macro="" textlink="">
      <xdr:nvSpPr>
        <xdr:cNvPr id="82" name="Rectangle 81">
          <a:extLst>
            <a:ext uri="{FF2B5EF4-FFF2-40B4-BE49-F238E27FC236}">
              <a16:creationId xmlns:a16="http://schemas.microsoft.com/office/drawing/2014/main" id="{8A6F9933-AA6D-4A70-B5BE-CBF2304B8E6F}"/>
            </a:ext>
          </a:extLst>
        </xdr:cNvPr>
        <xdr:cNvSpPr/>
      </xdr:nvSpPr>
      <xdr:spPr>
        <a:xfrm>
          <a:off x="10534651" y="2190751"/>
          <a:ext cx="1905000" cy="20383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17</xdr:col>
      <xdr:colOff>238126</xdr:colOff>
      <xdr:row>11</xdr:row>
      <xdr:rowOff>183449</xdr:rowOff>
    </xdr:from>
    <xdr:ext cx="1781175" cy="244041"/>
    <xdr:sp macro="" textlink="">
      <xdr:nvSpPr>
        <xdr:cNvPr id="85" name="TextBox 84">
          <a:extLst>
            <a:ext uri="{FF2B5EF4-FFF2-40B4-BE49-F238E27FC236}">
              <a16:creationId xmlns:a16="http://schemas.microsoft.com/office/drawing/2014/main" id="{CD543C5F-AE6E-4B51-8062-B5EB73DD3D8A}"/>
            </a:ext>
          </a:extLst>
        </xdr:cNvPr>
        <xdr:cNvSpPr txBox="1"/>
      </xdr:nvSpPr>
      <xdr:spPr>
        <a:xfrm>
          <a:off x="10601326" y="2278949"/>
          <a:ext cx="1781175" cy="2440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000" b="0" cap="none" spc="0">
              <a:ln w="0"/>
              <a:solidFill>
                <a:schemeClr val="bg1"/>
              </a:solidFill>
              <a:effectLst>
                <a:glow rad="101600">
                  <a:schemeClr val="accent1">
                    <a:satMod val="175000"/>
                    <a:alpha val="40000"/>
                  </a:schemeClr>
                </a:glow>
                <a:reflection blurRad="6350" stA="53000" endA="300" endPos="35500" dir="5400000" sy="-90000" algn="bl" rotWithShape="0"/>
              </a:effectLst>
              <a:latin typeface="Bodoni Bd BT" panose="02070803080706020303" pitchFamily="18" charset="0"/>
            </a:rPr>
            <a:t>Banyak Lapangan</a:t>
          </a:r>
          <a:r>
            <a:rPr lang="en-ID" sz="1000" b="0" cap="none" spc="0" baseline="0">
              <a:ln w="0"/>
              <a:solidFill>
                <a:schemeClr val="bg1"/>
              </a:solidFill>
              <a:effectLst>
                <a:glow rad="101600">
                  <a:schemeClr val="accent1">
                    <a:satMod val="175000"/>
                    <a:alpha val="40000"/>
                  </a:schemeClr>
                </a:glow>
                <a:reflection blurRad="6350" stA="53000" endA="300" endPos="35500" dir="5400000" sy="-90000" algn="bl" rotWithShape="0"/>
              </a:effectLst>
              <a:latin typeface="Bodoni Bd BT" panose="02070803080706020303" pitchFamily="18" charset="0"/>
            </a:rPr>
            <a:t> Olahraga</a:t>
          </a:r>
          <a:endParaRPr lang="en-ID" sz="1000" b="0" cap="none" spc="0">
            <a:ln w="0"/>
            <a:solidFill>
              <a:schemeClr val="bg1"/>
            </a:solidFill>
            <a:effectLst>
              <a:glow rad="101600">
                <a:schemeClr val="accent1">
                  <a:satMod val="175000"/>
                  <a:alpha val="40000"/>
                </a:schemeClr>
              </a:glow>
              <a:reflection blurRad="6350" stA="53000" endA="300" endPos="35500" dir="5400000" sy="-90000" algn="bl" rotWithShape="0"/>
            </a:effectLst>
            <a:latin typeface="Bodoni Bd BT" panose="02070803080706020303" pitchFamily="18" charset="0"/>
          </a:endParaRPr>
        </a:p>
      </xdr:txBody>
    </xdr:sp>
    <xdr:clientData/>
  </xdr:oneCellAnchor>
  <xdr:oneCellAnchor>
    <xdr:from>
      <xdr:col>17</xdr:col>
      <xdr:colOff>228601</xdr:colOff>
      <xdr:row>13</xdr:row>
      <xdr:rowOff>104776</xdr:rowOff>
    </xdr:from>
    <xdr:ext cx="742950" cy="233205"/>
    <xdr:sp macro="" textlink="">
      <xdr:nvSpPr>
        <xdr:cNvPr id="86" name="TextBox 85">
          <a:extLst>
            <a:ext uri="{FF2B5EF4-FFF2-40B4-BE49-F238E27FC236}">
              <a16:creationId xmlns:a16="http://schemas.microsoft.com/office/drawing/2014/main" id="{0D102404-4AAE-4663-A3E1-6D0DE8A4238A}"/>
            </a:ext>
          </a:extLst>
        </xdr:cNvPr>
        <xdr:cNvSpPr txBox="1"/>
      </xdr:nvSpPr>
      <xdr:spPr>
        <a:xfrm>
          <a:off x="10591801" y="2581276"/>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Sepak bola</a:t>
          </a:r>
        </a:p>
      </xdr:txBody>
    </xdr:sp>
    <xdr:clientData/>
  </xdr:oneCellAnchor>
  <xdr:oneCellAnchor>
    <xdr:from>
      <xdr:col>19</xdr:col>
      <xdr:colOff>47626</xdr:colOff>
      <xdr:row>13</xdr:row>
      <xdr:rowOff>114301</xdr:rowOff>
    </xdr:from>
    <xdr:ext cx="742950" cy="233205"/>
    <xdr:sp macro="" textlink="">
      <xdr:nvSpPr>
        <xdr:cNvPr id="87" name="TextBox 86">
          <a:extLst>
            <a:ext uri="{FF2B5EF4-FFF2-40B4-BE49-F238E27FC236}">
              <a16:creationId xmlns:a16="http://schemas.microsoft.com/office/drawing/2014/main" id="{11104E47-BE07-404B-AD89-839B6E2C66CC}"/>
            </a:ext>
          </a:extLst>
        </xdr:cNvPr>
        <xdr:cNvSpPr txBox="1"/>
      </xdr:nvSpPr>
      <xdr:spPr>
        <a:xfrm>
          <a:off x="11630026" y="2590801"/>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Futsal</a:t>
          </a:r>
        </a:p>
      </xdr:txBody>
    </xdr:sp>
    <xdr:clientData/>
  </xdr:oneCellAnchor>
  <xdr:oneCellAnchor>
    <xdr:from>
      <xdr:col>17</xdr:col>
      <xdr:colOff>257176</xdr:colOff>
      <xdr:row>15</xdr:row>
      <xdr:rowOff>152401</xdr:rowOff>
    </xdr:from>
    <xdr:ext cx="742950" cy="233205"/>
    <xdr:sp macro="" textlink="">
      <xdr:nvSpPr>
        <xdr:cNvPr id="88" name="TextBox 87">
          <a:extLst>
            <a:ext uri="{FF2B5EF4-FFF2-40B4-BE49-F238E27FC236}">
              <a16:creationId xmlns:a16="http://schemas.microsoft.com/office/drawing/2014/main" id="{07AEA50A-12C6-4599-BC43-141D8D8089F6}"/>
            </a:ext>
          </a:extLst>
        </xdr:cNvPr>
        <xdr:cNvSpPr txBox="1"/>
      </xdr:nvSpPr>
      <xdr:spPr>
        <a:xfrm>
          <a:off x="10620376" y="3009901"/>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Bulu</a:t>
          </a:r>
          <a:r>
            <a:rPr lang="en-ID" sz="900" b="1" cap="none" spc="0" baseline="0">
              <a:ln w="0"/>
              <a:solidFill>
                <a:schemeClr val="bg2">
                  <a:lumMod val="75000"/>
                </a:schemeClr>
              </a:solidFill>
              <a:effectLst/>
              <a:latin typeface="+mj-lt"/>
            </a:rPr>
            <a:t> tangkis</a:t>
          </a:r>
          <a:endParaRPr lang="en-ID" sz="900" b="1" cap="none" spc="0">
            <a:ln w="0"/>
            <a:solidFill>
              <a:schemeClr val="bg2">
                <a:lumMod val="75000"/>
              </a:schemeClr>
            </a:solidFill>
            <a:effectLst/>
            <a:latin typeface="+mj-lt"/>
          </a:endParaRPr>
        </a:p>
      </xdr:txBody>
    </xdr:sp>
    <xdr:clientData/>
  </xdr:oneCellAnchor>
  <xdr:oneCellAnchor>
    <xdr:from>
      <xdr:col>19</xdr:col>
      <xdr:colOff>47626</xdr:colOff>
      <xdr:row>15</xdr:row>
      <xdr:rowOff>133351</xdr:rowOff>
    </xdr:from>
    <xdr:ext cx="742950" cy="233205"/>
    <xdr:sp macro="" textlink="">
      <xdr:nvSpPr>
        <xdr:cNvPr id="89" name="TextBox 88">
          <a:extLst>
            <a:ext uri="{FF2B5EF4-FFF2-40B4-BE49-F238E27FC236}">
              <a16:creationId xmlns:a16="http://schemas.microsoft.com/office/drawing/2014/main" id="{27CB4E32-0491-4151-80F6-A40B0F1B45F2}"/>
            </a:ext>
          </a:extLst>
        </xdr:cNvPr>
        <xdr:cNvSpPr txBox="1"/>
      </xdr:nvSpPr>
      <xdr:spPr>
        <a:xfrm>
          <a:off x="11630026" y="2990851"/>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Voli</a:t>
          </a:r>
        </a:p>
      </xdr:txBody>
    </xdr:sp>
    <xdr:clientData/>
  </xdr:oneCellAnchor>
  <xdr:oneCellAnchor>
    <xdr:from>
      <xdr:col>17</xdr:col>
      <xdr:colOff>200025</xdr:colOff>
      <xdr:row>17</xdr:row>
      <xdr:rowOff>171451</xdr:rowOff>
    </xdr:from>
    <xdr:ext cx="933451" cy="233205"/>
    <xdr:sp macro="" textlink="">
      <xdr:nvSpPr>
        <xdr:cNvPr id="90" name="TextBox 89">
          <a:extLst>
            <a:ext uri="{FF2B5EF4-FFF2-40B4-BE49-F238E27FC236}">
              <a16:creationId xmlns:a16="http://schemas.microsoft.com/office/drawing/2014/main" id="{8E97FCF3-333E-4DE1-9E98-AC79C29E5B8A}"/>
            </a:ext>
          </a:extLst>
        </xdr:cNvPr>
        <xdr:cNvSpPr txBox="1"/>
      </xdr:nvSpPr>
      <xdr:spPr>
        <a:xfrm>
          <a:off x="10563225" y="3409951"/>
          <a:ext cx="93345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Tenis Lapangan</a:t>
          </a:r>
        </a:p>
      </xdr:txBody>
    </xdr:sp>
    <xdr:clientData/>
  </xdr:oneCellAnchor>
  <xdr:oneCellAnchor>
    <xdr:from>
      <xdr:col>19</xdr:col>
      <xdr:colOff>66676</xdr:colOff>
      <xdr:row>17</xdr:row>
      <xdr:rowOff>161926</xdr:rowOff>
    </xdr:from>
    <xdr:ext cx="742950" cy="233205"/>
    <xdr:sp macro="" textlink="">
      <xdr:nvSpPr>
        <xdr:cNvPr id="91" name="TextBox 90">
          <a:extLst>
            <a:ext uri="{FF2B5EF4-FFF2-40B4-BE49-F238E27FC236}">
              <a16:creationId xmlns:a16="http://schemas.microsoft.com/office/drawing/2014/main" id="{08A3A0EF-4BF4-4DF6-A43E-8FA958382D5A}"/>
            </a:ext>
          </a:extLst>
        </xdr:cNvPr>
        <xdr:cNvSpPr txBox="1"/>
      </xdr:nvSpPr>
      <xdr:spPr>
        <a:xfrm>
          <a:off x="11649076" y="3400426"/>
          <a:ext cx="7429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Basket</a:t>
          </a:r>
        </a:p>
      </xdr:txBody>
    </xdr:sp>
    <xdr:clientData/>
  </xdr:oneCellAnchor>
  <xdr:oneCellAnchor>
    <xdr:from>
      <xdr:col>18</xdr:col>
      <xdr:colOff>66675</xdr:colOff>
      <xdr:row>19</xdr:row>
      <xdr:rowOff>152401</xdr:rowOff>
    </xdr:from>
    <xdr:ext cx="933451" cy="233205"/>
    <xdr:sp macro="" textlink="">
      <xdr:nvSpPr>
        <xdr:cNvPr id="92" name="TextBox 91">
          <a:extLst>
            <a:ext uri="{FF2B5EF4-FFF2-40B4-BE49-F238E27FC236}">
              <a16:creationId xmlns:a16="http://schemas.microsoft.com/office/drawing/2014/main" id="{6C998412-0AE4-435D-BD4D-CC2AD8FD4D54}"/>
            </a:ext>
          </a:extLst>
        </xdr:cNvPr>
        <xdr:cNvSpPr txBox="1"/>
      </xdr:nvSpPr>
      <xdr:spPr>
        <a:xfrm>
          <a:off x="11039475" y="3771901"/>
          <a:ext cx="933451"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900" b="1" cap="none" spc="0">
              <a:ln w="0"/>
              <a:solidFill>
                <a:schemeClr val="bg2">
                  <a:lumMod val="75000"/>
                </a:schemeClr>
              </a:solidFill>
              <a:effectLst/>
              <a:latin typeface="+mj-lt"/>
            </a:rPr>
            <a:t>Lain-lain</a:t>
          </a:r>
        </a:p>
      </xdr:txBody>
    </xdr:sp>
    <xdr:clientData/>
  </xdr:oneCellAnchor>
  <xdr:twoCellAnchor>
    <xdr:from>
      <xdr:col>17</xdr:col>
      <xdr:colOff>447676</xdr:colOff>
      <xdr:row>14</xdr:row>
      <xdr:rowOff>114301</xdr:rowOff>
    </xdr:from>
    <xdr:to>
      <xdr:col>18</xdr:col>
      <xdr:colOff>180976</xdr:colOff>
      <xdr:row>15</xdr:row>
      <xdr:rowOff>95251</xdr:rowOff>
    </xdr:to>
    <xdr:sp macro="" textlink="PivotTable!B38">
      <xdr:nvSpPr>
        <xdr:cNvPr id="93" name="Rectangle: Rounded Corners 92">
          <a:extLst>
            <a:ext uri="{FF2B5EF4-FFF2-40B4-BE49-F238E27FC236}">
              <a16:creationId xmlns:a16="http://schemas.microsoft.com/office/drawing/2014/main" id="{28BE69BE-E15B-4834-9053-74BA82FA6D29}"/>
            </a:ext>
          </a:extLst>
        </xdr:cNvPr>
        <xdr:cNvSpPr/>
      </xdr:nvSpPr>
      <xdr:spPr>
        <a:xfrm>
          <a:off x="10810876" y="2781301"/>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15A05B8A-E387-4C6C-BDAF-28F825C540EF}" type="TxLink">
            <a:rPr lang="en-US" sz="900" b="0" i="0" u="none" strike="noStrike">
              <a:solidFill>
                <a:srgbClr val="002060"/>
              </a:solidFill>
              <a:latin typeface="Bodoni Bd BT" panose="02070803080706020303" pitchFamily="18" charset="0"/>
              <a:cs typeface="Calibri"/>
            </a:rPr>
            <a:pPr algn="ctr"/>
            <a:t>15</a:t>
          </a:fld>
          <a:endParaRPr lang="en-ID" sz="100" b="0">
            <a:solidFill>
              <a:srgbClr val="002060"/>
            </a:solidFill>
            <a:latin typeface="Bodoni Bd BT" panose="02070803080706020303" pitchFamily="18" charset="0"/>
          </a:endParaRPr>
        </a:p>
      </xdr:txBody>
    </xdr:sp>
    <xdr:clientData/>
  </xdr:twoCellAnchor>
  <xdr:twoCellAnchor>
    <xdr:from>
      <xdr:col>17</xdr:col>
      <xdr:colOff>457201</xdr:colOff>
      <xdr:row>16</xdr:row>
      <xdr:rowOff>152401</xdr:rowOff>
    </xdr:from>
    <xdr:to>
      <xdr:col>18</xdr:col>
      <xdr:colOff>190501</xdr:colOff>
      <xdr:row>17</xdr:row>
      <xdr:rowOff>133351</xdr:rowOff>
    </xdr:to>
    <xdr:sp macro="" textlink="PivotTable!F38">
      <xdr:nvSpPr>
        <xdr:cNvPr id="94" name="Rectangle: Rounded Corners 93">
          <a:extLst>
            <a:ext uri="{FF2B5EF4-FFF2-40B4-BE49-F238E27FC236}">
              <a16:creationId xmlns:a16="http://schemas.microsoft.com/office/drawing/2014/main" id="{65BF58B5-AE9E-4DAF-8E2E-7CC6BB5345B3}"/>
            </a:ext>
          </a:extLst>
        </xdr:cNvPr>
        <xdr:cNvSpPr/>
      </xdr:nvSpPr>
      <xdr:spPr>
        <a:xfrm>
          <a:off x="10820401" y="3200401"/>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BEB517D5-BB24-4175-86E2-EDDAB2C9A030}" type="TxLink">
            <a:rPr lang="en-US" sz="900" b="0" i="0" u="none" strike="noStrike">
              <a:solidFill>
                <a:srgbClr val="002060"/>
              </a:solidFill>
              <a:latin typeface="Bodoni Bd BT" panose="02070803080706020303" pitchFamily="18" charset="0"/>
              <a:cs typeface="Calibri"/>
            </a:rPr>
            <a:pPr algn="ctr"/>
            <a:t>6</a:t>
          </a:fld>
          <a:endParaRPr lang="en-ID" sz="200" b="0">
            <a:solidFill>
              <a:srgbClr val="002060"/>
            </a:solidFill>
            <a:latin typeface="Bodoni Bd BT" panose="02070803080706020303" pitchFamily="18" charset="0"/>
          </a:endParaRPr>
        </a:p>
      </xdr:txBody>
    </xdr:sp>
    <xdr:clientData/>
  </xdr:twoCellAnchor>
  <xdr:twoCellAnchor>
    <xdr:from>
      <xdr:col>17</xdr:col>
      <xdr:colOff>466726</xdr:colOff>
      <xdr:row>18</xdr:row>
      <xdr:rowOff>171451</xdr:rowOff>
    </xdr:from>
    <xdr:to>
      <xdr:col>18</xdr:col>
      <xdr:colOff>200026</xdr:colOff>
      <xdr:row>19</xdr:row>
      <xdr:rowOff>152401</xdr:rowOff>
    </xdr:to>
    <xdr:sp macro="" textlink="PivotTable!G38">
      <xdr:nvSpPr>
        <xdr:cNvPr id="95" name="Rectangle: Rounded Corners 94">
          <a:extLst>
            <a:ext uri="{FF2B5EF4-FFF2-40B4-BE49-F238E27FC236}">
              <a16:creationId xmlns:a16="http://schemas.microsoft.com/office/drawing/2014/main" id="{CDDA60F1-0D99-452D-ADFA-9A7AC70645B0}"/>
            </a:ext>
          </a:extLst>
        </xdr:cNvPr>
        <xdr:cNvSpPr/>
      </xdr:nvSpPr>
      <xdr:spPr>
        <a:xfrm>
          <a:off x="10829926" y="3600451"/>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CC68D054-05E2-4828-9627-68CDB9DFBAA4}" type="TxLink">
            <a:rPr lang="en-US" sz="900" b="0" i="0" u="none" strike="noStrike">
              <a:solidFill>
                <a:srgbClr val="002060"/>
              </a:solidFill>
              <a:latin typeface="Bodoni Bd BT" panose="02070803080706020303" pitchFamily="18" charset="0"/>
              <a:cs typeface="Calibri"/>
            </a:rPr>
            <a:pPr algn="ctr"/>
            <a:t>0</a:t>
          </a:fld>
          <a:endParaRPr lang="en-ID" sz="200" b="0">
            <a:solidFill>
              <a:srgbClr val="002060"/>
            </a:solidFill>
            <a:latin typeface="Bodoni Bd BT" panose="02070803080706020303" pitchFamily="18" charset="0"/>
          </a:endParaRPr>
        </a:p>
      </xdr:txBody>
    </xdr:sp>
    <xdr:clientData/>
  </xdr:twoCellAnchor>
  <xdr:twoCellAnchor>
    <xdr:from>
      <xdr:col>19</xdr:col>
      <xdr:colOff>266701</xdr:colOff>
      <xdr:row>14</xdr:row>
      <xdr:rowOff>123826</xdr:rowOff>
    </xdr:from>
    <xdr:to>
      <xdr:col>20</xdr:col>
      <xdr:colOff>1</xdr:colOff>
      <xdr:row>15</xdr:row>
      <xdr:rowOff>104776</xdr:rowOff>
    </xdr:to>
    <xdr:sp macro="" textlink="PivotTable!C38">
      <xdr:nvSpPr>
        <xdr:cNvPr id="96" name="Rectangle: Rounded Corners 95">
          <a:extLst>
            <a:ext uri="{FF2B5EF4-FFF2-40B4-BE49-F238E27FC236}">
              <a16:creationId xmlns:a16="http://schemas.microsoft.com/office/drawing/2014/main" id="{017FE6E9-521E-4E54-86C6-25459BA3BFE7}"/>
            </a:ext>
          </a:extLst>
        </xdr:cNvPr>
        <xdr:cNvSpPr/>
      </xdr:nvSpPr>
      <xdr:spPr>
        <a:xfrm>
          <a:off x="11849101" y="2790826"/>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994EDBC5-D111-4648-ABEA-6CFA1570EBA3}" type="TxLink">
            <a:rPr lang="en-US" sz="900" b="0" i="0" u="none" strike="noStrike">
              <a:solidFill>
                <a:srgbClr val="002060"/>
              </a:solidFill>
              <a:latin typeface="Bodoni Bd BT" panose="02070803080706020303" pitchFamily="18" charset="0"/>
              <a:cs typeface="Calibri"/>
            </a:rPr>
            <a:pPr algn="ctr"/>
            <a:t>1</a:t>
          </a:fld>
          <a:endParaRPr lang="en-ID" sz="200" b="0">
            <a:solidFill>
              <a:srgbClr val="002060"/>
            </a:solidFill>
            <a:latin typeface="Bodoni Bd BT" panose="02070803080706020303" pitchFamily="18" charset="0"/>
          </a:endParaRPr>
        </a:p>
      </xdr:txBody>
    </xdr:sp>
    <xdr:clientData/>
  </xdr:twoCellAnchor>
  <xdr:twoCellAnchor>
    <xdr:from>
      <xdr:col>19</xdr:col>
      <xdr:colOff>276226</xdr:colOff>
      <xdr:row>16</xdr:row>
      <xdr:rowOff>142876</xdr:rowOff>
    </xdr:from>
    <xdr:to>
      <xdr:col>20</xdr:col>
      <xdr:colOff>9526</xdr:colOff>
      <xdr:row>17</xdr:row>
      <xdr:rowOff>123826</xdr:rowOff>
    </xdr:to>
    <xdr:sp macro="" textlink="PivotTable!D38">
      <xdr:nvSpPr>
        <xdr:cNvPr id="97" name="Rectangle: Rounded Corners 96">
          <a:extLst>
            <a:ext uri="{FF2B5EF4-FFF2-40B4-BE49-F238E27FC236}">
              <a16:creationId xmlns:a16="http://schemas.microsoft.com/office/drawing/2014/main" id="{C9248B37-DB95-4308-9DB3-18E97D98B75A}"/>
            </a:ext>
          </a:extLst>
        </xdr:cNvPr>
        <xdr:cNvSpPr/>
      </xdr:nvSpPr>
      <xdr:spPr>
        <a:xfrm>
          <a:off x="11858626" y="3190876"/>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2B8CD426-07FA-472C-A777-8A80A2F29C62}" type="TxLink">
            <a:rPr lang="en-US" sz="900" b="0" i="0" u="none" strike="noStrike">
              <a:solidFill>
                <a:srgbClr val="002060"/>
              </a:solidFill>
              <a:latin typeface="Bodoni Bd BT" panose="02070803080706020303" pitchFamily="18" charset="0"/>
              <a:cs typeface="Calibri"/>
            </a:rPr>
            <a:pPr algn="ctr"/>
            <a:t>29</a:t>
          </a:fld>
          <a:endParaRPr lang="en-ID" sz="200" b="0">
            <a:solidFill>
              <a:srgbClr val="002060"/>
            </a:solidFill>
            <a:latin typeface="Bodoni Bd BT" panose="02070803080706020303" pitchFamily="18" charset="0"/>
          </a:endParaRPr>
        </a:p>
      </xdr:txBody>
    </xdr:sp>
    <xdr:clientData/>
  </xdr:twoCellAnchor>
  <xdr:twoCellAnchor>
    <xdr:from>
      <xdr:col>19</xdr:col>
      <xdr:colOff>276226</xdr:colOff>
      <xdr:row>18</xdr:row>
      <xdr:rowOff>171451</xdr:rowOff>
    </xdr:from>
    <xdr:to>
      <xdr:col>20</xdr:col>
      <xdr:colOff>9526</xdr:colOff>
      <xdr:row>19</xdr:row>
      <xdr:rowOff>152401</xdr:rowOff>
    </xdr:to>
    <xdr:sp macro="" textlink="PivotTable!E38">
      <xdr:nvSpPr>
        <xdr:cNvPr id="98" name="Rectangle: Rounded Corners 97">
          <a:extLst>
            <a:ext uri="{FF2B5EF4-FFF2-40B4-BE49-F238E27FC236}">
              <a16:creationId xmlns:a16="http://schemas.microsoft.com/office/drawing/2014/main" id="{AD1D18B7-8F4A-4C30-B120-B88B7A4FB82D}"/>
            </a:ext>
          </a:extLst>
        </xdr:cNvPr>
        <xdr:cNvSpPr/>
      </xdr:nvSpPr>
      <xdr:spPr>
        <a:xfrm>
          <a:off x="11858626" y="3600451"/>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AFE1092F-DA59-4D5D-A354-A985FA41B9F3}" type="TxLink">
            <a:rPr lang="en-US" sz="900" b="0" i="0" u="none" strike="noStrike">
              <a:solidFill>
                <a:srgbClr val="002060"/>
              </a:solidFill>
              <a:latin typeface="Bodoni Bd BT" panose="02070803080706020303" pitchFamily="18" charset="0"/>
              <a:cs typeface="Calibri"/>
            </a:rPr>
            <a:pPr algn="ctr"/>
            <a:t>2</a:t>
          </a:fld>
          <a:endParaRPr lang="en-ID" sz="200" b="0">
            <a:solidFill>
              <a:srgbClr val="002060"/>
            </a:solidFill>
            <a:latin typeface="Bodoni Bd BT" panose="02070803080706020303" pitchFamily="18" charset="0"/>
          </a:endParaRPr>
        </a:p>
      </xdr:txBody>
    </xdr:sp>
    <xdr:clientData/>
  </xdr:twoCellAnchor>
  <xdr:twoCellAnchor>
    <xdr:from>
      <xdr:col>18</xdr:col>
      <xdr:colOff>381001</xdr:colOff>
      <xdr:row>20</xdr:row>
      <xdr:rowOff>152401</xdr:rowOff>
    </xdr:from>
    <xdr:to>
      <xdr:col>19</xdr:col>
      <xdr:colOff>114301</xdr:colOff>
      <xdr:row>21</xdr:row>
      <xdr:rowOff>133351</xdr:rowOff>
    </xdr:to>
    <xdr:sp macro="" textlink="PivotTable!H38">
      <xdr:nvSpPr>
        <xdr:cNvPr id="99" name="Rectangle: Rounded Corners 98">
          <a:extLst>
            <a:ext uri="{FF2B5EF4-FFF2-40B4-BE49-F238E27FC236}">
              <a16:creationId xmlns:a16="http://schemas.microsoft.com/office/drawing/2014/main" id="{9FD0D980-3653-4C74-8FB2-5D33886F9D17}"/>
            </a:ext>
          </a:extLst>
        </xdr:cNvPr>
        <xdr:cNvSpPr/>
      </xdr:nvSpPr>
      <xdr:spPr>
        <a:xfrm>
          <a:off x="11353801" y="3962401"/>
          <a:ext cx="3429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C3FD0D3-9D98-4ACE-9559-5938FD43B44A}" type="TxLink">
            <a:rPr lang="en-US" sz="900" b="0" i="0" u="none" strike="noStrike">
              <a:solidFill>
                <a:srgbClr val="002060"/>
              </a:solidFill>
              <a:latin typeface="Bodoni Bd BT" panose="02070803080706020303" pitchFamily="18" charset="0"/>
              <a:cs typeface="Calibri"/>
            </a:rPr>
            <a:pPr algn="ctr"/>
            <a:t>0</a:t>
          </a:fld>
          <a:endParaRPr lang="en-ID" sz="200" b="0">
            <a:solidFill>
              <a:srgbClr val="002060"/>
            </a:solidFill>
            <a:latin typeface="Bodoni Bd BT" panose="02070803080706020303" pitchFamily="18" charset="0"/>
          </a:endParaRPr>
        </a:p>
      </xdr:txBody>
    </xdr:sp>
    <xdr:clientData/>
  </xdr:twoCellAnchor>
  <xdr:oneCellAnchor>
    <xdr:from>
      <xdr:col>12</xdr:col>
      <xdr:colOff>161925</xdr:colOff>
      <xdr:row>11</xdr:row>
      <xdr:rowOff>142876</xdr:rowOff>
    </xdr:from>
    <xdr:ext cx="2800350" cy="233205"/>
    <xdr:sp macro="" textlink="">
      <xdr:nvSpPr>
        <xdr:cNvPr id="102" name="TextBox 101">
          <a:extLst>
            <a:ext uri="{FF2B5EF4-FFF2-40B4-BE49-F238E27FC236}">
              <a16:creationId xmlns:a16="http://schemas.microsoft.com/office/drawing/2014/main" id="{EA7AAA6E-8AB7-4A3A-88D2-966970D6DE13}"/>
            </a:ext>
          </a:extLst>
        </xdr:cNvPr>
        <xdr:cNvSpPr txBox="1"/>
      </xdr:nvSpPr>
      <xdr:spPr>
        <a:xfrm>
          <a:off x="7477125" y="2238376"/>
          <a:ext cx="280035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900" b="1" cap="none" spc="0">
              <a:ln w="0"/>
              <a:solidFill>
                <a:schemeClr val="accent6">
                  <a:lumMod val="60000"/>
                  <a:lumOff val="40000"/>
                </a:schemeClr>
              </a:solidFill>
              <a:effectLst/>
              <a:latin typeface="+mj-lt"/>
            </a:rPr>
            <a:t>Jumlah</a:t>
          </a:r>
          <a:r>
            <a:rPr lang="en-ID" sz="900" b="1" cap="none" spc="0" baseline="0">
              <a:ln w="0"/>
              <a:solidFill>
                <a:schemeClr val="accent6">
                  <a:lumMod val="60000"/>
                  <a:lumOff val="40000"/>
                </a:schemeClr>
              </a:solidFill>
              <a:effectLst/>
              <a:latin typeface="+mj-lt"/>
            </a:rPr>
            <a:t> Penduduk Meninggal berdasarkan Usia (Tahun)</a:t>
          </a:r>
          <a:endParaRPr lang="en-ID" sz="900" b="1" cap="none" spc="0">
            <a:ln w="0"/>
            <a:solidFill>
              <a:schemeClr val="accent6">
                <a:lumMod val="60000"/>
                <a:lumOff val="40000"/>
              </a:schemeClr>
            </a:solidFill>
            <a:effectLst/>
            <a:latin typeface="+mj-lt"/>
          </a:endParaRPr>
        </a:p>
      </xdr:txBody>
    </xdr:sp>
    <xdr:clientData/>
  </xdr:oneCellAnchor>
  <xdr:oneCellAnchor>
    <xdr:from>
      <xdr:col>13</xdr:col>
      <xdr:colOff>571500</xdr:colOff>
      <xdr:row>7</xdr:row>
      <xdr:rowOff>164751</xdr:rowOff>
    </xdr:from>
    <xdr:ext cx="1224000" cy="180000"/>
    <xdr:sp macro="" textlink="">
      <xdr:nvSpPr>
        <xdr:cNvPr id="141" name="TextBox 140">
          <a:extLst>
            <a:ext uri="{FF2B5EF4-FFF2-40B4-BE49-F238E27FC236}">
              <a16:creationId xmlns:a16="http://schemas.microsoft.com/office/drawing/2014/main" id="{7D500B8D-5D0F-48C6-B73B-3723431C1082}"/>
            </a:ext>
          </a:extLst>
        </xdr:cNvPr>
        <xdr:cNvSpPr txBox="1"/>
      </xdr:nvSpPr>
      <xdr:spPr>
        <a:xfrm>
          <a:off x="8496300" y="1498251"/>
          <a:ext cx="1224000" cy="180000"/>
        </a:xfrm>
        <a:prstGeom prst="roundRect">
          <a:avLst/>
        </a:prstGeom>
        <a:ln>
          <a:noFill/>
        </a:ln>
        <a:effectLst>
          <a:outerShdw blurRad="50800" dist="38100" dir="5400000" algn="t" rotWithShape="0">
            <a:prstClr val="black">
              <a:alpha val="40000"/>
            </a:prstClr>
          </a:outerShdw>
          <a:softEdge rad="31750"/>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spAutoFit/>
        </a:bodyPr>
        <a:lstStyle/>
        <a:p>
          <a:pPr algn="ctr"/>
          <a:r>
            <a:rPr lang="en-ID" sz="700" b="0" cap="none" spc="0">
              <a:ln w="0"/>
              <a:solidFill>
                <a:schemeClr val="bg1"/>
              </a:solidFill>
              <a:effectLst/>
              <a:latin typeface="Berlin Sans FB" panose="020E0602020502020306" pitchFamily="34" charset="0"/>
            </a:rPr>
            <a:t>Pembinaan ke Masyarakat</a:t>
          </a:r>
        </a:p>
      </xdr:txBody>
    </xdr:sp>
    <xdr:clientData/>
  </xdr:oneCellAnchor>
  <xdr:twoCellAnchor>
    <xdr:from>
      <xdr:col>16</xdr:col>
      <xdr:colOff>28575</xdr:colOff>
      <xdr:row>0</xdr:row>
      <xdr:rowOff>66675</xdr:rowOff>
    </xdr:from>
    <xdr:to>
      <xdr:col>20</xdr:col>
      <xdr:colOff>285750</xdr:colOff>
      <xdr:row>11</xdr:row>
      <xdr:rowOff>47625</xdr:rowOff>
    </xdr:to>
    <xdr:sp macro="" textlink="">
      <xdr:nvSpPr>
        <xdr:cNvPr id="218" name="Rectangle 217">
          <a:extLst>
            <a:ext uri="{FF2B5EF4-FFF2-40B4-BE49-F238E27FC236}">
              <a16:creationId xmlns:a16="http://schemas.microsoft.com/office/drawing/2014/main" id="{657AE958-53FE-4649-83D1-06E21D71CDD0}"/>
            </a:ext>
          </a:extLst>
        </xdr:cNvPr>
        <xdr:cNvSpPr/>
      </xdr:nvSpPr>
      <xdr:spPr>
        <a:xfrm>
          <a:off x="9782175" y="66675"/>
          <a:ext cx="2695575" cy="20764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17</xdr:col>
      <xdr:colOff>209550</xdr:colOff>
      <xdr:row>0</xdr:row>
      <xdr:rowOff>138317</xdr:rowOff>
    </xdr:from>
    <xdr:ext cx="1257300" cy="254172"/>
    <xdr:sp macro="" textlink="">
      <xdr:nvSpPr>
        <xdr:cNvPr id="219" name="TextBox 218">
          <a:extLst>
            <a:ext uri="{FF2B5EF4-FFF2-40B4-BE49-F238E27FC236}">
              <a16:creationId xmlns:a16="http://schemas.microsoft.com/office/drawing/2014/main" id="{A5E80DF1-7013-41F7-A3AC-A49A71095F1F}"/>
            </a:ext>
          </a:extLst>
        </xdr:cNvPr>
        <xdr:cNvSpPr txBox="1"/>
      </xdr:nvSpPr>
      <xdr:spPr>
        <a:xfrm>
          <a:off x="10572750" y="138317"/>
          <a:ext cx="1257300" cy="254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050" b="0" cap="none" spc="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rPr>
            <a:t>INFO</a:t>
          </a:r>
          <a:r>
            <a:rPr lang="en-ID" sz="1050" b="0" cap="none" spc="0" baseline="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rPr>
            <a:t> LAHAN</a:t>
          </a:r>
          <a:endParaRPr lang="en-ID" sz="1050" b="0" cap="none" spc="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endParaRPr>
        </a:p>
      </xdr:txBody>
    </xdr:sp>
    <xdr:clientData/>
  </xdr:oneCellAnchor>
  <xdr:twoCellAnchor>
    <xdr:from>
      <xdr:col>16</xdr:col>
      <xdr:colOff>276225</xdr:colOff>
      <xdr:row>9</xdr:row>
      <xdr:rowOff>85725</xdr:rowOff>
    </xdr:from>
    <xdr:to>
      <xdr:col>17</xdr:col>
      <xdr:colOff>514350</xdr:colOff>
      <xdr:row>10</xdr:row>
      <xdr:rowOff>85725</xdr:rowOff>
    </xdr:to>
    <xdr:sp macro="" textlink="PivotTable!B105">
      <xdr:nvSpPr>
        <xdr:cNvPr id="226" name="Rectangle: Rounded Corners 225">
          <a:extLst>
            <a:ext uri="{FF2B5EF4-FFF2-40B4-BE49-F238E27FC236}">
              <a16:creationId xmlns:a16="http://schemas.microsoft.com/office/drawing/2014/main" id="{599F41B7-A79E-427F-8CB2-0D59D10AE93E}"/>
            </a:ext>
          </a:extLst>
        </xdr:cNvPr>
        <xdr:cNvSpPr/>
      </xdr:nvSpPr>
      <xdr:spPr>
        <a:xfrm>
          <a:off x="10029825" y="1800225"/>
          <a:ext cx="847725" cy="190500"/>
        </a:xfrm>
        <a:prstGeom prst="roundRect">
          <a:avLst/>
        </a:prstGeom>
        <a:solidFill>
          <a:schemeClr val="accent1"/>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5045281F-36B4-49F9-BE0E-7C7946DCE121}" type="TxLink">
            <a:rPr lang="en-US" sz="1100" b="0" i="0" u="none" strike="noStrike">
              <a:solidFill>
                <a:schemeClr val="bg1">
                  <a:lumMod val="85000"/>
                </a:schemeClr>
              </a:solidFill>
              <a:latin typeface="Berlin Sans FB" panose="020E0602020502020306" pitchFamily="34" charset="0"/>
              <a:cs typeface="Calibri"/>
            </a:rPr>
            <a:pPr algn="ctr"/>
            <a:t>18204,554</a:t>
          </a:fld>
          <a:endParaRPr lang="en-ID" sz="400">
            <a:solidFill>
              <a:schemeClr val="bg1">
                <a:lumMod val="85000"/>
              </a:schemeClr>
            </a:solidFill>
            <a:latin typeface="Berlin Sans FB" panose="020E0602020502020306" pitchFamily="34" charset="0"/>
          </a:endParaRPr>
        </a:p>
      </xdr:txBody>
    </xdr:sp>
    <xdr:clientData/>
  </xdr:twoCellAnchor>
  <xdr:oneCellAnchor>
    <xdr:from>
      <xdr:col>16</xdr:col>
      <xdr:colOff>47625</xdr:colOff>
      <xdr:row>8</xdr:row>
      <xdr:rowOff>85726</xdr:rowOff>
    </xdr:from>
    <xdr:ext cx="1362075" cy="217560"/>
    <xdr:sp macro="" textlink="">
      <xdr:nvSpPr>
        <xdr:cNvPr id="227" name="TextBox 226">
          <a:extLst>
            <a:ext uri="{FF2B5EF4-FFF2-40B4-BE49-F238E27FC236}">
              <a16:creationId xmlns:a16="http://schemas.microsoft.com/office/drawing/2014/main" id="{BF2D7AF3-37BC-4F1E-9BC4-AF5F80E8C6BD}"/>
            </a:ext>
          </a:extLst>
        </xdr:cNvPr>
        <xdr:cNvSpPr txBox="1"/>
      </xdr:nvSpPr>
      <xdr:spPr>
        <a:xfrm>
          <a:off x="9801225" y="1609726"/>
          <a:ext cx="1362075"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1" cap="none" spc="0">
              <a:ln w="0"/>
              <a:solidFill>
                <a:schemeClr val="bg2">
                  <a:lumMod val="75000"/>
                </a:schemeClr>
              </a:solidFill>
              <a:effectLst/>
              <a:latin typeface="+mj-lt"/>
            </a:rPr>
            <a:t>Luas</a:t>
          </a:r>
          <a:r>
            <a:rPr lang="en-ID" sz="800" b="1" cap="none" spc="0" baseline="0">
              <a:ln w="0"/>
              <a:solidFill>
                <a:schemeClr val="bg2">
                  <a:lumMod val="75000"/>
                </a:schemeClr>
              </a:solidFill>
              <a:effectLst/>
              <a:latin typeface="+mj-lt"/>
            </a:rPr>
            <a:t> Lahan Produktif (Ha)</a:t>
          </a:r>
          <a:endParaRPr lang="en-ID" sz="800" b="1" cap="none" spc="0">
            <a:ln w="0"/>
            <a:solidFill>
              <a:schemeClr val="bg2">
                <a:lumMod val="75000"/>
              </a:schemeClr>
            </a:solidFill>
            <a:effectLst/>
            <a:latin typeface="+mj-lt"/>
          </a:endParaRPr>
        </a:p>
      </xdr:txBody>
    </xdr:sp>
    <xdr:clientData/>
  </xdr:oneCellAnchor>
  <xdr:oneCellAnchor>
    <xdr:from>
      <xdr:col>18</xdr:col>
      <xdr:colOff>66675</xdr:colOff>
      <xdr:row>8</xdr:row>
      <xdr:rowOff>85726</xdr:rowOff>
    </xdr:from>
    <xdr:ext cx="1514475" cy="217560"/>
    <xdr:sp macro="" textlink="">
      <xdr:nvSpPr>
        <xdr:cNvPr id="228" name="TextBox 227">
          <a:extLst>
            <a:ext uri="{FF2B5EF4-FFF2-40B4-BE49-F238E27FC236}">
              <a16:creationId xmlns:a16="http://schemas.microsoft.com/office/drawing/2014/main" id="{6B0BAD9C-D0C3-469E-86F2-D365EC430C1F}"/>
            </a:ext>
          </a:extLst>
        </xdr:cNvPr>
        <xdr:cNvSpPr txBox="1"/>
      </xdr:nvSpPr>
      <xdr:spPr>
        <a:xfrm>
          <a:off x="11039475" y="1609726"/>
          <a:ext cx="1514475" cy="217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D" sz="800" b="1" cap="none" spc="0">
              <a:ln w="0"/>
              <a:solidFill>
                <a:schemeClr val="bg2">
                  <a:lumMod val="75000"/>
                </a:schemeClr>
              </a:solidFill>
              <a:effectLst/>
              <a:latin typeface="+mj-lt"/>
            </a:rPr>
            <a:t>Luas Lahan Tidak</a:t>
          </a:r>
          <a:r>
            <a:rPr lang="en-ID" sz="800" b="1" cap="none" spc="0" baseline="0">
              <a:ln w="0"/>
              <a:solidFill>
                <a:schemeClr val="bg2">
                  <a:lumMod val="75000"/>
                </a:schemeClr>
              </a:solidFill>
              <a:effectLst/>
              <a:latin typeface="+mj-lt"/>
            </a:rPr>
            <a:t> Produktif (Ha)</a:t>
          </a:r>
          <a:endParaRPr lang="en-ID" sz="800" b="1" cap="none" spc="0">
            <a:ln w="0"/>
            <a:solidFill>
              <a:schemeClr val="bg2">
                <a:lumMod val="75000"/>
              </a:schemeClr>
            </a:solidFill>
            <a:effectLst/>
            <a:latin typeface="+mj-lt"/>
          </a:endParaRPr>
        </a:p>
      </xdr:txBody>
    </xdr:sp>
    <xdr:clientData/>
  </xdr:oneCellAnchor>
  <xdr:twoCellAnchor>
    <xdr:from>
      <xdr:col>18</xdr:col>
      <xdr:colOff>485775</xdr:colOff>
      <xdr:row>9</xdr:row>
      <xdr:rowOff>85725</xdr:rowOff>
    </xdr:from>
    <xdr:to>
      <xdr:col>20</xdr:col>
      <xdr:colOff>0</xdr:colOff>
      <xdr:row>10</xdr:row>
      <xdr:rowOff>76200</xdr:rowOff>
    </xdr:to>
    <xdr:sp macro="" textlink="PivotTable!C105">
      <xdr:nvSpPr>
        <xdr:cNvPr id="229" name="Rectangle: Rounded Corners 228">
          <a:extLst>
            <a:ext uri="{FF2B5EF4-FFF2-40B4-BE49-F238E27FC236}">
              <a16:creationId xmlns:a16="http://schemas.microsoft.com/office/drawing/2014/main" id="{01327B84-137D-47D3-82D4-E55C79627F86}"/>
            </a:ext>
          </a:extLst>
        </xdr:cNvPr>
        <xdr:cNvSpPr/>
      </xdr:nvSpPr>
      <xdr:spPr>
        <a:xfrm>
          <a:off x="11458575" y="1800225"/>
          <a:ext cx="733425" cy="180975"/>
        </a:xfrm>
        <a:prstGeom prst="roundRect">
          <a:avLst/>
        </a:prstGeom>
        <a:solidFill>
          <a:schemeClr val="accent1"/>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9CB27F4F-5BC6-49C8-A983-175D38A028BD}" type="TxLink">
            <a:rPr lang="en-US" sz="1100" b="0" i="0" u="none" strike="noStrike">
              <a:solidFill>
                <a:schemeClr val="bg1">
                  <a:lumMod val="85000"/>
                </a:schemeClr>
              </a:solidFill>
              <a:latin typeface="Berlin Sans FB" panose="020E0602020502020306" pitchFamily="34" charset="0"/>
              <a:cs typeface="Calibri"/>
            </a:rPr>
            <a:pPr algn="ctr"/>
            <a:t>1245,01</a:t>
          </a:fld>
          <a:endParaRPr lang="en-ID" sz="400">
            <a:solidFill>
              <a:schemeClr val="bg1">
                <a:lumMod val="85000"/>
              </a:schemeClr>
            </a:solidFill>
            <a:latin typeface="Berlin Sans FB" panose="020E0602020502020306" pitchFamily="34" charset="0"/>
          </a:endParaRPr>
        </a:p>
      </xdr:txBody>
    </xdr:sp>
    <xdr:clientData/>
  </xdr:twoCellAnchor>
  <xdr:twoCellAnchor>
    <xdr:from>
      <xdr:col>9</xdr:col>
      <xdr:colOff>597631</xdr:colOff>
      <xdr:row>15</xdr:row>
      <xdr:rowOff>18197</xdr:rowOff>
    </xdr:from>
    <xdr:to>
      <xdr:col>9</xdr:col>
      <xdr:colOff>597631</xdr:colOff>
      <xdr:row>21</xdr:row>
      <xdr:rowOff>135197</xdr:rowOff>
    </xdr:to>
    <xdr:cxnSp macro="">
      <xdr:nvCxnSpPr>
        <xdr:cNvPr id="139" name="Straight Connector 138">
          <a:extLst>
            <a:ext uri="{FF2B5EF4-FFF2-40B4-BE49-F238E27FC236}">
              <a16:creationId xmlns:a16="http://schemas.microsoft.com/office/drawing/2014/main" id="{A8FADE0D-A779-4156-9843-6DC00845108D}"/>
            </a:ext>
          </a:extLst>
        </xdr:cNvPr>
        <xdr:cNvCxnSpPr/>
      </xdr:nvCxnSpPr>
      <xdr:spPr>
        <a:xfrm>
          <a:off x="6077908" y="2875697"/>
          <a:ext cx="0" cy="1260000"/>
        </a:xfrm>
        <a:prstGeom prst="line">
          <a:avLst/>
        </a:prstGeom>
        <a:ln w="9525" cap="flat" cmpd="sng" algn="ctr">
          <a:solidFill>
            <a:schemeClr val="accent3"/>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xdr:twoCellAnchor editAs="oneCell">
    <xdr:from>
      <xdr:col>0</xdr:col>
      <xdr:colOff>0</xdr:colOff>
      <xdr:row>0</xdr:row>
      <xdr:rowOff>19050</xdr:rowOff>
    </xdr:from>
    <xdr:to>
      <xdr:col>2</xdr:col>
      <xdr:colOff>571500</xdr:colOff>
      <xdr:row>4</xdr:row>
      <xdr:rowOff>142875</xdr:rowOff>
    </xdr:to>
    <mc:AlternateContent xmlns:mc="http://schemas.openxmlformats.org/markup-compatibility/2006" xmlns:a14="http://schemas.microsoft.com/office/drawing/2010/main">
      <mc:Choice Requires="a14">
        <xdr:graphicFrame macro="">
          <xdr:nvGraphicFramePr>
            <xdr:cNvPr id="133" name="Tahun 2">
              <a:extLst>
                <a:ext uri="{FF2B5EF4-FFF2-40B4-BE49-F238E27FC236}">
                  <a16:creationId xmlns:a16="http://schemas.microsoft.com/office/drawing/2014/main" id="{4241B325-075D-4B8A-87B9-541D90685C7E}"/>
                </a:ext>
              </a:extLst>
            </xdr:cNvPr>
            <xdr:cNvGraphicFramePr/>
          </xdr:nvGraphicFramePr>
          <xdr:xfrm>
            <a:off x="0" y="0"/>
            <a:ext cx="0" cy="0"/>
          </xdr:xfrm>
          <a:graphic>
            <a:graphicData uri="http://schemas.microsoft.com/office/drawing/2010/slicer">
              <sle:slicer xmlns:sle="http://schemas.microsoft.com/office/drawing/2010/slicer" name="Tahun 2"/>
            </a:graphicData>
          </a:graphic>
        </xdr:graphicFrame>
      </mc:Choice>
      <mc:Fallback xmlns="">
        <xdr:sp macro="" textlink="">
          <xdr:nvSpPr>
            <xdr:cNvPr id="0" name=""/>
            <xdr:cNvSpPr>
              <a:spLocks noTextEdit="1"/>
            </xdr:cNvSpPr>
          </xdr:nvSpPr>
          <xdr:spPr>
            <a:xfrm>
              <a:off x="0" y="19050"/>
              <a:ext cx="1790700" cy="88582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533400</xdr:colOff>
      <xdr:row>1</xdr:row>
      <xdr:rowOff>85725</xdr:rowOff>
    </xdr:from>
    <xdr:to>
      <xdr:col>7</xdr:col>
      <xdr:colOff>371475</xdr:colOff>
      <xdr:row>11</xdr:row>
      <xdr:rowOff>66675</xdr:rowOff>
    </xdr:to>
    <xdr:graphicFrame macro="">
      <xdr:nvGraphicFramePr>
        <xdr:cNvPr id="142" name="Chart 141">
          <a:extLst>
            <a:ext uri="{FF2B5EF4-FFF2-40B4-BE49-F238E27FC236}">
              <a16:creationId xmlns:a16="http://schemas.microsoft.com/office/drawing/2014/main" id="{8FF2B928-A632-4EE8-BFF7-1094FAAFB6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19051</xdr:colOff>
      <xdr:row>1</xdr:row>
      <xdr:rowOff>9524</xdr:rowOff>
    </xdr:from>
    <xdr:to>
      <xdr:col>11</xdr:col>
      <xdr:colOff>38100</xdr:colOff>
      <xdr:row>13</xdr:row>
      <xdr:rowOff>66675</xdr:rowOff>
    </xdr:to>
    <xdr:graphicFrame macro="">
      <xdr:nvGraphicFramePr>
        <xdr:cNvPr id="143" name="Chart 142">
          <a:extLst>
            <a:ext uri="{FF2B5EF4-FFF2-40B4-BE49-F238E27FC236}">
              <a16:creationId xmlns:a16="http://schemas.microsoft.com/office/drawing/2014/main" id="{69703F13-EE07-400F-B790-C75F9B0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428625</xdr:colOff>
      <xdr:row>12</xdr:row>
      <xdr:rowOff>66675</xdr:rowOff>
    </xdr:from>
    <xdr:to>
      <xdr:col>17</xdr:col>
      <xdr:colOff>28575</xdr:colOff>
      <xdr:row>20</xdr:row>
      <xdr:rowOff>95250</xdr:rowOff>
    </xdr:to>
    <xdr:graphicFrame macro="">
      <xdr:nvGraphicFramePr>
        <xdr:cNvPr id="147" name="Chart 146">
          <a:extLst>
            <a:ext uri="{FF2B5EF4-FFF2-40B4-BE49-F238E27FC236}">
              <a16:creationId xmlns:a16="http://schemas.microsoft.com/office/drawing/2014/main" id="{E2E72D9E-603C-4C18-A86F-44E4D803B1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11</xdr:col>
      <xdr:colOff>1</xdr:colOff>
      <xdr:row>20</xdr:row>
      <xdr:rowOff>31150</xdr:rowOff>
    </xdr:from>
    <xdr:ext cx="742950" cy="198452"/>
    <xdr:sp macro="" textlink="">
      <xdr:nvSpPr>
        <xdr:cNvPr id="148" name="TextBox 147">
          <a:extLst>
            <a:ext uri="{FF2B5EF4-FFF2-40B4-BE49-F238E27FC236}">
              <a16:creationId xmlns:a16="http://schemas.microsoft.com/office/drawing/2014/main" id="{C2E8AED9-8E83-431D-9817-93B9523A73B3}"/>
            </a:ext>
          </a:extLst>
        </xdr:cNvPr>
        <xdr:cNvSpPr txBox="1"/>
      </xdr:nvSpPr>
      <xdr:spPr>
        <a:xfrm>
          <a:off x="6705601" y="3841150"/>
          <a:ext cx="742950" cy="1984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D" sz="700" b="1" cap="none" spc="0">
              <a:ln w="0"/>
              <a:solidFill>
                <a:srgbClr val="00B0F0"/>
              </a:solidFill>
              <a:effectLst/>
              <a:latin typeface="Bodoni Bd BT" panose="02070803080706020303" pitchFamily="18" charset="0"/>
            </a:rPr>
            <a:t>Jumlah:</a:t>
          </a:r>
        </a:p>
      </xdr:txBody>
    </xdr:sp>
    <xdr:clientData/>
  </xdr:oneCellAnchor>
  <xdr:twoCellAnchor>
    <xdr:from>
      <xdr:col>12</xdr:col>
      <xdr:colOff>57151</xdr:colOff>
      <xdr:row>20</xdr:row>
      <xdr:rowOff>57151</xdr:rowOff>
    </xdr:from>
    <xdr:to>
      <xdr:col>12</xdr:col>
      <xdr:colOff>400051</xdr:colOff>
      <xdr:row>21</xdr:row>
      <xdr:rowOff>38101</xdr:rowOff>
    </xdr:to>
    <xdr:sp macro="" textlink="PivotTable!B119">
      <xdr:nvSpPr>
        <xdr:cNvPr id="150" name="Rectangle: Rounded Corners 149">
          <a:extLst>
            <a:ext uri="{FF2B5EF4-FFF2-40B4-BE49-F238E27FC236}">
              <a16:creationId xmlns:a16="http://schemas.microsoft.com/office/drawing/2014/main" id="{B4CD1D20-7DAA-4F17-9B8D-018474CB0719}"/>
            </a:ext>
          </a:extLst>
        </xdr:cNvPr>
        <xdr:cNvSpPr/>
      </xdr:nvSpPr>
      <xdr:spPr>
        <a:xfrm>
          <a:off x="7372351" y="3867151"/>
          <a:ext cx="342900" cy="171450"/>
        </a:xfrm>
        <a:prstGeom prst="roundRect">
          <a:avLst/>
        </a:prstGeom>
        <a:solidFill>
          <a:srgbClr val="437C2C"/>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8021826E-D0FF-4D05-815B-796325E78366}" type="TxLink">
            <a:rPr lang="en-US" sz="1100" b="0" i="0" u="none" strike="noStrike">
              <a:solidFill>
                <a:schemeClr val="bg1">
                  <a:lumMod val="85000"/>
                </a:schemeClr>
              </a:solidFill>
              <a:latin typeface="Arabic Typesetting" panose="03020402040406030203" pitchFamily="66" charset="-78"/>
              <a:cs typeface="Arabic Typesetting" panose="03020402040406030203" pitchFamily="66" charset="-78"/>
            </a:rPr>
            <a:pPr algn="ctr"/>
            <a:t>43</a:t>
          </a:fld>
          <a:endParaRPr lang="en-ID" sz="500" b="0">
            <a:solidFill>
              <a:schemeClr val="bg1">
                <a:lumMod val="85000"/>
              </a:schemeClr>
            </a:solidFill>
            <a:latin typeface="Arabic Typesetting" panose="03020402040406030203" pitchFamily="66" charset="-78"/>
            <a:cs typeface="Arabic Typesetting" panose="03020402040406030203" pitchFamily="66" charset="-78"/>
          </a:endParaRPr>
        </a:p>
      </xdr:txBody>
    </xdr:sp>
    <xdr:clientData/>
  </xdr:twoCellAnchor>
  <xdr:twoCellAnchor>
    <xdr:from>
      <xdr:col>13</xdr:col>
      <xdr:colOff>57151</xdr:colOff>
      <xdr:row>20</xdr:row>
      <xdr:rowOff>57151</xdr:rowOff>
    </xdr:from>
    <xdr:to>
      <xdr:col>13</xdr:col>
      <xdr:colOff>400051</xdr:colOff>
      <xdr:row>21</xdr:row>
      <xdr:rowOff>38101</xdr:rowOff>
    </xdr:to>
    <xdr:sp macro="" textlink="PivotTable!C119">
      <xdr:nvSpPr>
        <xdr:cNvPr id="151" name="Rectangle: Rounded Corners 150">
          <a:extLst>
            <a:ext uri="{FF2B5EF4-FFF2-40B4-BE49-F238E27FC236}">
              <a16:creationId xmlns:a16="http://schemas.microsoft.com/office/drawing/2014/main" id="{D0557CA1-17A9-425C-8D70-67BD97934B7B}"/>
            </a:ext>
          </a:extLst>
        </xdr:cNvPr>
        <xdr:cNvSpPr/>
      </xdr:nvSpPr>
      <xdr:spPr>
        <a:xfrm>
          <a:off x="7981951" y="3867151"/>
          <a:ext cx="342900" cy="171450"/>
        </a:xfrm>
        <a:prstGeom prst="roundRect">
          <a:avLst/>
        </a:prstGeom>
        <a:solidFill>
          <a:srgbClr val="437C2C"/>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A63362CC-93D9-4056-B1EC-806A4A45B7BC}" type="TxLink">
            <a:rPr lang="en-US" sz="1100" b="0" i="0" u="none" strike="noStrike">
              <a:solidFill>
                <a:schemeClr val="bg1">
                  <a:lumMod val="85000"/>
                </a:schemeClr>
              </a:solidFill>
              <a:latin typeface="Arabic Typesetting" panose="03020402040406030203" pitchFamily="66" charset="-78"/>
              <a:cs typeface="Arabic Typesetting" panose="03020402040406030203" pitchFamily="66" charset="-78"/>
            </a:rPr>
            <a:pPr algn="ctr"/>
            <a:t>37</a:t>
          </a:fld>
          <a:endParaRPr lang="en-ID" sz="500" b="0">
            <a:solidFill>
              <a:schemeClr val="bg1">
                <a:lumMod val="85000"/>
              </a:schemeClr>
            </a:solidFill>
            <a:latin typeface="Arabic Typesetting" panose="03020402040406030203" pitchFamily="66" charset="-78"/>
            <a:cs typeface="Arabic Typesetting" panose="03020402040406030203" pitchFamily="66" charset="-78"/>
          </a:endParaRPr>
        </a:p>
      </xdr:txBody>
    </xdr:sp>
    <xdr:clientData/>
  </xdr:twoCellAnchor>
  <xdr:twoCellAnchor>
    <xdr:from>
      <xdr:col>14</xdr:col>
      <xdr:colOff>57151</xdr:colOff>
      <xdr:row>20</xdr:row>
      <xdr:rowOff>57151</xdr:rowOff>
    </xdr:from>
    <xdr:to>
      <xdr:col>14</xdr:col>
      <xdr:colOff>400051</xdr:colOff>
      <xdr:row>21</xdr:row>
      <xdr:rowOff>38101</xdr:rowOff>
    </xdr:to>
    <xdr:sp macro="" textlink="PivotTable!D119">
      <xdr:nvSpPr>
        <xdr:cNvPr id="152" name="Rectangle: Rounded Corners 151">
          <a:extLst>
            <a:ext uri="{FF2B5EF4-FFF2-40B4-BE49-F238E27FC236}">
              <a16:creationId xmlns:a16="http://schemas.microsoft.com/office/drawing/2014/main" id="{F622A678-E083-4A8F-B6EA-0EADCCEF376E}"/>
            </a:ext>
          </a:extLst>
        </xdr:cNvPr>
        <xdr:cNvSpPr/>
      </xdr:nvSpPr>
      <xdr:spPr>
        <a:xfrm>
          <a:off x="8591551" y="3867151"/>
          <a:ext cx="342900" cy="171450"/>
        </a:xfrm>
        <a:prstGeom prst="roundRect">
          <a:avLst/>
        </a:prstGeom>
        <a:solidFill>
          <a:srgbClr val="437C2C"/>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FC6355A1-0911-41F2-8909-D7733E9DFDCC}" type="TxLink">
            <a:rPr lang="en-US" sz="1100" b="0" i="0" u="none" strike="noStrike">
              <a:solidFill>
                <a:schemeClr val="bg1">
                  <a:lumMod val="85000"/>
                </a:schemeClr>
              </a:solidFill>
              <a:latin typeface="Arabic Typesetting" panose="03020402040406030203" pitchFamily="66" charset="-78"/>
              <a:cs typeface="Arabic Typesetting" panose="03020402040406030203" pitchFamily="66" charset="-78"/>
            </a:rPr>
            <a:pPr algn="ctr"/>
            <a:t>32</a:t>
          </a:fld>
          <a:endParaRPr lang="en-ID" sz="500" b="0">
            <a:solidFill>
              <a:schemeClr val="bg1">
                <a:lumMod val="85000"/>
              </a:schemeClr>
            </a:solidFill>
            <a:latin typeface="Arabic Typesetting" panose="03020402040406030203" pitchFamily="66" charset="-78"/>
            <a:cs typeface="Arabic Typesetting" panose="03020402040406030203" pitchFamily="66" charset="-78"/>
          </a:endParaRPr>
        </a:p>
      </xdr:txBody>
    </xdr:sp>
    <xdr:clientData/>
  </xdr:twoCellAnchor>
  <xdr:twoCellAnchor>
    <xdr:from>
      <xdr:col>15</xdr:col>
      <xdr:colOff>38101</xdr:colOff>
      <xdr:row>20</xdr:row>
      <xdr:rowOff>57151</xdr:rowOff>
    </xdr:from>
    <xdr:to>
      <xdr:col>15</xdr:col>
      <xdr:colOff>381001</xdr:colOff>
      <xdr:row>21</xdr:row>
      <xdr:rowOff>38101</xdr:rowOff>
    </xdr:to>
    <xdr:sp macro="" textlink="PivotTable!E119">
      <xdr:nvSpPr>
        <xdr:cNvPr id="153" name="Rectangle: Rounded Corners 152">
          <a:extLst>
            <a:ext uri="{FF2B5EF4-FFF2-40B4-BE49-F238E27FC236}">
              <a16:creationId xmlns:a16="http://schemas.microsoft.com/office/drawing/2014/main" id="{E14366A2-BC07-48E3-A96C-73D5DFC8FF45}"/>
            </a:ext>
          </a:extLst>
        </xdr:cNvPr>
        <xdr:cNvSpPr/>
      </xdr:nvSpPr>
      <xdr:spPr>
        <a:xfrm>
          <a:off x="9182101" y="3867151"/>
          <a:ext cx="342900" cy="171450"/>
        </a:xfrm>
        <a:prstGeom prst="roundRect">
          <a:avLst/>
        </a:prstGeom>
        <a:solidFill>
          <a:srgbClr val="437C2C"/>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FDB5CF84-6479-4F47-9A44-43D98CE912E1}" type="TxLink">
            <a:rPr lang="en-US" sz="1100" b="0" i="0" u="none" strike="noStrike">
              <a:solidFill>
                <a:schemeClr val="bg1">
                  <a:lumMod val="85000"/>
                </a:schemeClr>
              </a:solidFill>
              <a:latin typeface="Arabic Typesetting" panose="03020402040406030203" pitchFamily="66" charset="-78"/>
              <a:cs typeface="Arabic Typesetting" panose="03020402040406030203" pitchFamily="66" charset="-78"/>
            </a:rPr>
            <a:pPr algn="ctr"/>
            <a:t>109</a:t>
          </a:fld>
          <a:endParaRPr lang="en-ID" sz="500" b="0">
            <a:solidFill>
              <a:schemeClr val="bg1">
                <a:lumMod val="85000"/>
              </a:schemeClr>
            </a:solidFill>
            <a:latin typeface="Arabic Typesetting" panose="03020402040406030203" pitchFamily="66" charset="-78"/>
            <a:cs typeface="Arabic Typesetting" panose="03020402040406030203" pitchFamily="66" charset="-78"/>
          </a:endParaRPr>
        </a:p>
      </xdr:txBody>
    </xdr:sp>
    <xdr:clientData/>
  </xdr:twoCellAnchor>
  <xdr:twoCellAnchor>
    <xdr:from>
      <xdr:col>16</xdr:col>
      <xdr:colOff>38101</xdr:colOff>
      <xdr:row>20</xdr:row>
      <xdr:rowOff>57151</xdr:rowOff>
    </xdr:from>
    <xdr:to>
      <xdr:col>16</xdr:col>
      <xdr:colOff>381001</xdr:colOff>
      <xdr:row>21</xdr:row>
      <xdr:rowOff>38101</xdr:rowOff>
    </xdr:to>
    <xdr:sp macro="" textlink="PivotTable!F119">
      <xdr:nvSpPr>
        <xdr:cNvPr id="154" name="Rectangle: Rounded Corners 153">
          <a:extLst>
            <a:ext uri="{FF2B5EF4-FFF2-40B4-BE49-F238E27FC236}">
              <a16:creationId xmlns:a16="http://schemas.microsoft.com/office/drawing/2014/main" id="{3BD90EB6-659D-47B5-90FC-B27A3AC0874D}"/>
            </a:ext>
          </a:extLst>
        </xdr:cNvPr>
        <xdr:cNvSpPr/>
      </xdr:nvSpPr>
      <xdr:spPr>
        <a:xfrm>
          <a:off x="9791701" y="3867151"/>
          <a:ext cx="342900" cy="171450"/>
        </a:xfrm>
        <a:prstGeom prst="roundRect">
          <a:avLst/>
        </a:prstGeom>
        <a:solidFill>
          <a:srgbClr val="437C2C"/>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82895D54-BD4D-4696-92F8-00444396960A}" type="TxLink">
            <a:rPr lang="en-US" sz="1100" b="0" i="0" u="none" strike="noStrike">
              <a:solidFill>
                <a:schemeClr val="bg1">
                  <a:lumMod val="85000"/>
                </a:schemeClr>
              </a:solidFill>
              <a:latin typeface="Arabic Typesetting" panose="03020402040406030203" pitchFamily="66" charset="-78"/>
              <a:cs typeface="Arabic Typesetting" panose="03020402040406030203" pitchFamily="66" charset="-78"/>
            </a:rPr>
            <a:pPr algn="ctr"/>
            <a:t>243</a:t>
          </a:fld>
          <a:endParaRPr lang="en-ID" sz="500" b="0">
            <a:solidFill>
              <a:schemeClr val="bg1">
                <a:lumMod val="85000"/>
              </a:schemeClr>
            </a:solidFill>
            <a:latin typeface="Arabic Typesetting" panose="03020402040406030203" pitchFamily="66" charset="-78"/>
            <a:cs typeface="Arabic Typesetting" panose="03020402040406030203" pitchFamily="66" charset="-78"/>
          </a:endParaRPr>
        </a:p>
      </xdr:txBody>
    </xdr:sp>
    <xdr:clientData/>
  </xdr:twoCellAnchor>
  <xdr:twoCellAnchor>
    <xdr:from>
      <xdr:col>16</xdr:col>
      <xdr:colOff>257174</xdr:colOff>
      <xdr:row>1</xdr:row>
      <xdr:rowOff>161924</xdr:rowOff>
    </xdr:from>
    <xdr:to>
      <xdr:col>20</xdr:col>
      <xdr:colOff>180975</xdr:colOff>
      <xdr:row>8</xdr:row>
      <xdr:rowOff>171449</xdr:rowOff>
    </xdr:to>
    <xdr:graphicFrame macro="">
      <xdr:nvGraphicFramePr>
        <xdr:cNvPr id="156" name="Chart 155">
          <a:extLst>
            <a:ext uri="{FF2B5EF4-FFF2-40B4-BE49-F238E27FC236}">
              <a16:creationId xmlns:a16="http://schemas.microsoft.com/office/drawing/2014/main" id="{B78D0CF4-67EC-437B-A3DF-FAF627EAFA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38100</xdr:colOff>
      <xdr:row>14</xdr:row>
      <xdr:rowOff>47625</xdr:rowOff>
    </xdr:from>
    <xdr:to>
      <xdr:col>8</xdr:col>
      <xdr:colOff>323850</xdr:colOff>
      <xdr:row>21</xdr:row>
      <xdr:rowOff>180975</xdr:rowOff>
    </xdr:to>
    <xdr:graphicFrame macro="">
      <xdr:nvGraphicFramePr>
        <xdr:cNvPr id="157" name="Chart 156">
          <a:extLst>
            <a:ext uri="{FF2B5EF4-FFF2-40B4-BE49-F238E27FC236}">
              <a16:creationId xmlns:a16="http://schemas.microsoft.com/office/drawing/2014/main" id="{B0719E3C-CEA3-41EF-9483-35346C9EE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136478</xdr:colOff>
      <xdr:row>17</xdr:row>
      <xdr:rowOff>19449</xdr:rowOff>
    </xdr:from>
    <xdr:to>
      <xdr:col>10</xdr:col>
      <xdr:colOff>41228</xdr:colOff>
      <xdr:row>17</xdr:row>
      <xdr:rowOff>169864</xdr:rowOff>
    </xdr:to>
    <xdr:sp macro="" textlink="PivotTable!C24">
      <xdr:nvSpPr>
        <xdr:cNvPr id="158" name="Rectangle 157">
          <a:extLst>
            <a:ext uri="{FF2B5EF4-FFF2-40B4-BE49-F238E27FC236}">
              <a16:creationId xmlns:a16="http://schemas.microsoft.com/office/drawing/2014/main" id="{D70E61D9-F8F7-4D88-9FCF-554B7F1DD609}"/>
            </a:ext>
          </a:extLst>
        </xdr:cNvPr>
        <xdr:cNvSpPr/>
      </xdr:nvSpPr>
      <xdr:spPr>
        <a:xfrm>
          <a:off x="5616755" y="3257949"/>
          <a:ext cx="513669" cy="150415"/>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1D932B3-E175-4967-8476-7BF23F7FBA7E}" type="TxLink">
            <a:rPr lang="en-US" sz="700" b="0" i="0" u="none" strike="noStrike">
              <a:solidFill>
                <a:srgbClr val="92D050"/>
              </a:solidFill>
              <a:latin typeface="Calibri"/>
              <a:cs typeface="Calibri"/>
            </a:rPr>
            <a:pPr algn="ctr"/>
            <a:t>1849</a:t>
          </a:fld>
          <a:endParaRPr lang="en-US" sz="500" b="0">
            <a:solidFill>
              <a:srgbClr val="92D050"/>
            </a:solidFill>
            <a:latin typeface="Berlin Sans FB" panose="020E0602020502020306" pitchFamily="34" charset="0"/>
          </a:endParaRPr>
        </a:p>
      </xdr:txBody>
    </xdr:sp>
    <xdr:clientData/>
  </xdr:twoCellAnchor>
  <xdr:twoCellAnchor>
    <xdr:from>
      <xdr:col>9</xdr:col>
      <xdr:colOff>136880</xdr:colOff>
      <xdr:row>17</xdr:row>
      <xdr:rowOff>161284</xdr:rowOff>
    </xdr:from>
    <xdr:to>
      <xdr:col>10</xdr:col>
      <xdr:colOff>41630</xdr:colOff>
      <xdr:row>18</xdr:row>
      <xdr:rowOff>122030</xdr:rowOff>
    </xdr:to>
    <xdr:sp macro="" textlink="PivotTable!D24">
      <xdr:nvSpPr>
        <xdr:cNvPr id="159" name="Rectangle 158">
          <a:extLst>
            <a:ext uri="{FF2B5EF4-FFF2-40B4-BE49-F238E27FC236}">
              <a16:creationId xmlns:a16="http://schemas.microsoft.com/office/drawing/2014/main" id="{486174E1-1B32-4F8A-8C6A-735E181FC0D3}"/>
            </a:ext>
          </a:extLst>
        </xdr:cNvPr>
        <xdr:cNvSpPr/>
      </xdr:nvSpPr>
      <xdr:spPr>
        <a:xfrm>
          <a:off x="5617157" y="3399784"/>
          <a:ext cx="513669" cy="151246"/>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C3F5F6D-A592-45DD-975D-A5808823424E}" type="TxLink">
            <a:rPr lang="en-US" sz="700" b="0" i="0" u="none" strike="noStrike">
              <a:solidFill>
                <a:srgbClr val="92D050"/>
              </a:solidFill>
              <a:latin typeface="Calibri"/>
              <a:cs typeface="Calibri"/>
            </a:rPr>
            <a:pPr algn="ctr"/>
            <a:t>13</a:t>
          </a:fld>
          <a:endParaRPr lang="en-US" sz="500" b="0">
            <a:solidFill>
              <a:srgbClr val="92D050"/>
            </a:solidFill>
            <a:latin typeface="Berlin Sans FB" panose="020E0602020502020306" pitchFamily="34" charset="0"/>
          </a:endParaRPr>
        </a:p>
      </xdr:txBody>
    </xdr:sp>
    <xdr:clientData/>
  </xdr:twoCellAnchor>
  <xdr:twoCellAnchor>
    <xdr:from>
      <xdr:col>9</xdr:col>
      <xdr:colOff>129955</xdr:colOff>
      <xdr:row>18</xdr:row>
      <xdr:rowOff>118416</xdr:rowOff>
    </xdr:from>
    <xdr:to>
      <xdr:col>10</xdr:col>
      <xdr:colOff>34705</xdr:colOff>
      <xdr:row>19</xdr:row>
      <xdr:rowOff>80314</xdr:rowOff>
    </xdr:to>
    <xdr:sp macro="" textlink="PivotTable!E24">
      <xdr:nvSpPr>
        <xdr:cNvPr id="160" name="Rectangle 159">
          <a:extLst>
            <a:ext uri="{FF2B5EF4-FFF2-40B4-BE49-F238E27FC236}">
              <a16:creationId xmlns:a16="http://schemas.microsoft.com/office/drawing/2014/main" id="{E78147A7-94F8-4CA3-B9B9-0B6AF1636567}"/>
            </a:ext>
          </a:extLst>
        </xdr:cNvPr>
        <xdr:cNvSpPr/>
      </xdr:nvSpPr>
      <xdr:spPr>
        <a:xfrm>
          <a:off x="5610232" y="3547416"/>
          <a:ext cx="513669"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CCB5E626-9052-4185-AB01-86F962B4D0EB}" type="TxLink">
            <a:rPr lang="en-US" sz="700" b="0" i="0" u="none" strike="noStrike">
              <a:solidFill>
                <a:srgbClr val="92D050"/>
              </a:solidFill>
              <a:latin typeface="Calibri"/>
              <a:cs typeface="Calibri"/>
            </a:rPr>
            <a:pPr algn="ctr"/>
            <a:t>509</a:t>
          </a:fld>
          <a:endParaRPr lang="en-US" sz="500" b="0">
            <a:solidFill>
              <a:srgbClr val="92D050"/>
            </a:solidFill>
            <a:latin typeface="Berlin Sans FB" panose="020E0602020502020306" pitchFamily="34" charset="0"/>
          </a:endParaRPr>
        </a:p>
      </xdr:txBody>
    </xdr:sp>
    <xdr:clientData/>
  </xdr:twoCellAnchor>
  <xdr:twoCellAnchor>
    <xdr:from>
      <xdr:col>9</xdr:col>
      <xdr:colOff>125973</xdr:colOff>
      <xdr:row>19</xdr:row>
      <xdr:rowOff>66860</xdr:rowOff>
    </xdr:from>
    <xdr:to>
      <xdr:col>10</xdr:col>
      <xdr:colOff>30723</xdr:colOff>
      <xdr:row>20</xdr:row>
      <xdr:rowOff>30180</xdr:rowOff>
    </xdr:to>
    <xdr:sp macro="" textlink="PivotTable!F24">
      <xdr:nvSpPr>
        <xdr:cNvPr id="161" name="Rectangle 160">
          <a:extLst>
            <a:ext uri="{FF2B5EF4-FFF2-40B4-BE49-F238E27FC236}">
              <a16:creationId xmlns:a16="http://schemas.microsoft.com/office/drawing/2014/main" id="{FD585C65-91F5-485A-8DD7-7D0EA7715B84}"/>
            </a:ext>
          </a:extLst>
        </xdr:cNvPr>
        <xdr:cNvSpPr/>
      </xdr:nvSpPr>
      <xdr:spPr>
        <a:xfrm>
          <a:off x="5606250" y="3686360"/>
          <a:ext cx="513669" cy="153820"/>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3347EC53-800C-4221-A5A2-94E8701FBA52}" type="TxLink">
            <a:rPr lang="en-US" sz="700" b="0" i="0" u="none" strike="noStrike">
              <a:solidFill>
                <a:srgbClr val="92D050"/>
              </a:solidFill>
              <a:latin typeface="Calibri"/>
              <a:cs typeface="Calibri"/>
            </a:rPr>
            <a:pPr algn="ctr"/>
            <a:t>7</a:t>
          </a:fld>
          <a:endParaRPr lang="en-US" sz="500" b="0">
            <a:solidFill>
              <a:srgbClr val="92D050"/>
            </a:solidFill>
            <a:latin typeface="Berlin Sans FB" panose="020E0602020502020306" pitchFamily="34" charset="0"/>
          </a:endParaRPr>
        </a:p>
      </xdr:txBody>
    </xdr:sp>
    <xdr:clientData/>
  </xdr:twoCellAnchor>
  <xdr:twoCellAnchor>
    <xdr:from>
      <xdr:col>9</xdr:col>
      <xdr:colOff>118439</xdr:colOff>
      <xdr:row>20</xdr:row>
      <xdr:rowOff>180521</xdr:rowOff>
    </xdr:from>
    <xdr:to>
      <xdr:col>10</xdr:col>
      <xdr:colOff>23189</xdr:colOff>
      <xdr:row>21</xdr:row>
      <xdr:rowOff>142419</xdr:rowOff>
    </xdr:to>
    <xdr:sp macro="" textlink="PivotTable!H24">
      <xdr:nvSpPr>
        <xdr:cNvPr id="162" name="Rectangle 161">
          <a:extLst>
            <a:ext uri="{FF2B5EF4-FFF2-40B4-BE49-F238E27FC236}">
              <a16:creationId xmlns:a16="http://schemas.microsoft.com/office/drawing/2014/main" id="{1DEB2AB2-24E2-4045-B93B-E1A1D0895806}"/>
            </a:ext>
          </a:extLst>
        </xdr:cNvPr>
        <xdr:cNvSpPr/>
      </xdr:nvSpPr>
      <xdr:spPr>
        <a:xfrm>
          <a:off x="5598716" y="3990521"/>
          <a:ext cx="513669"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A0062367-DC5B-4D1D-9814-6E0EFFD61D3B}" type="TxLink">
            <a:rPr lang="en-US" sz="700" b="0" i="0" u="none" strike="noStrike">
              <a:solidFill>
                <a:srgbClr val="92D050"/>
              </a:solidFill>
              <a:latin typeface="Calibri"/>
              <a:cs typeface="Calibri"/>
            </a:rPr>
            <a:pPr algn="ctr"/>
            <a:t>9</a:t>
          </a:fld>
          <a:endParaRPr lang="en-US" sz="500" b="0">
            <a:solidFill>
              <a:srgbClr val="92D050"/>
            </a:solidFill>
            <a:latin typeface="Berlin Sans FB" panose="020E0602020502020306" pitchFamily="34" charset="0"/>
          </a:endParaRPr>
        </a:p>
      </xdr:txBody>
    </xdr:sp>
    <xdr:clientData/>
  </xdr:twoCellAnchor>
  <xdr:twoCellAnchor>
    <xdr:from>
      <xdr:col>9</xdr:col>
      <xdr:colOff>118164</xdr:colOff>
      <xdr:row>20</xdr:row>
      <xdr:rowOff>36863</xdr:rowOff>
    </xdr:from>
    <xdr:to>
      <xdr:col>10</xdr:col>
      <xdr:colOff>22914</xdr:colOff>
      <xdr:row>20</xdr:row>
      <xdr:rowOff>189262</xdr:rowOff>
    </xdr:to>
    <xdr:sp macro="" textlink="PivotTable!G24">
      <xdr:nvSpPr>
        <xdr:cNvPr id="163" name="Rectangle 162">
          <a:extLst>
            <a:ext uri="{FF2B5EF4-FFF2-40B4-BE49-F238E27FC236}">
              <a16:creationId xmlns:a16="http://schemas.microsoft.com/office/drawing/2014/main" id="{84F57EA8-8780-4C54-9721-578DE5F156B5}"/>
            </a:ext>
          </a:extLst>
        </xdr:cNvPr>
        <xdr:cNvSpPr/>
      </xdr:nvSpPr>
      <xdr:spPr>
        <a:xfrm>
          <a:off x="5598441" y="3846863"/>
          <a:ext cx="513669" cy="152399"/>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88A18CD6-F265-4C6E-8D7D-C63798FD4CBC}" type="TxLink">
            <a:rPr lang="en-US" sz="700" b="0" i="0" u="none" strike="noStrike">
              <a:solidFill>
                <a:srgbClr val="92D050"/>
              </a:solidFill>
              <a:latin typeface="Calibri"/>
              <a:cs typeface="Calibri"/>
            </a:rPr>
            <a:pPr algn="ctr"/>
            <a:t>0</a:t>
          </a:fld>
          <a:endParaRPr lang="en-US" sz="500" b="0">
            <a:solidFill>
              <a:srgbClr val="92D050"/>
            </a:solidFill>
            <a:latin typeface="Berlin Sans FB" panose="020E0602020502020306" pitchFamily="34" charset="0"/>
          </a:endParaRPr>
        </a:p>
      </xdr:txBody>
    </xdr:sp>
    <xdr:clientData/>
  </xdr:twoCellAnchor>
  <xdr:twoCellAnchor>
    <xdr:from>
      <xdr:col>10</xdr:col>
      <xdr:colOff>47132</xdr:colOff>
      <xdr:row>16</xdr:row>
      <xdr:rowOff>69749</xdr:rowOff>
    </xdr:from>
    <xdr:to>
      <xdr:col>10</xdr:col>
      <xdr:colOff>563487</xdr:colOff>
      <xdr:row>17</xdr:row>
      <xdr:rowOff>31647</xdr:rowOff>
    </xdr:to>
    <xdr:sp macro="" textlink="PivotTable!B31">
      <xdr:nvSpPr>
        <xdr:cNvPr id="164" name="Rectangle 163">
          <a:extLst>
            <a:ext uri="{FF2B5EF4-FFF2-40B4-BE49-F238E27FC236}">
              <a16:creationId xmlns:a16="http://schemas.microsoft.com/office/drawing/2014/main" id="{600540DE-37BB-466E-8334-41C0B9DDB43F}"/>
            </a:ext>
          </a:extLst>
        </xdr:cNvPr>
        <xdr:cNvSpPr/>
      </xdr:nvSpPr>
      <xdr:spPr>
        <a:xfrm>
          <a:off x="6136328" y="3117749"/>
          <a:ext cx="516355"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9F158ECD-9891-4D12-B52A-6CEA7224D8CA}" type="TxLink">
            <a:rPr lang="en-US" sz="700" b="0" i="0" u="none" strike="noStrike">
              <a:solidFill>
                <a:srgbClr val="00B0F0"/>
              </a:solidFill>
              <a:latin typeface="Calibri"/>
              <a:cs typeface="Calibri"/>
            </a:rPr>
            <a:pPr algn="ctr"/>
            <a:t>311</a:t>
          </a:fld>
          <a:endParaRPr lang="en-US" sz="700" b="0">
            <a:solidFill>
              <a:srgbClr val="00B0F0"/>
            </a:solidFill>
            <a:latin typeface="Berlin Sans FB" panose="020E0602020502020306" pitchFamily="34" charset="0"/>
          </a:endParaRPr>
        </a:p>
      </xdr:txBody>
    </xdr:sp>
    <xdr:clientData/>
  </xdr:twoCellAnchor>
  <xdr:twoCellAnchor>
    <xdr:from>
      <xdr:col>10</xdr:col>
      <xdr:colOff>44704</xdr:colOff>
      <xdr:row>17</xdr:row>
      <xdr:rowOff>30547</xdr:rowOff>
    </xdr:from>
    <xdr:to>
      <xdr:col>10</xdr:col>
      <xdr:colOff>561059</xdr:colOff>
      <xdr:row>17</xdr:row>
      <xdr:rowOff>182945</xdr:rowOff>
    </xdr:to>
    <xdr:sp macro="" textlink="PivotTable!C31">
      <xdr:nvSpPr>
        <xdr:cNvPr id="165" name="Rectangle 164">
          <a:extLst>
            <a:ext uri="{FF2B5EF4-FFF2-40B4-BE49-F238E27FC236}">
              <a16:creationId xmlns:a16="http://schemas.microsoft.com/office/drawing/2014/main" id="{98989FC2-E48B-4C60-849F-963538831374}"/>
            </a:ext>
          </a:extLst>
        </xdr:cNvPr>
        <xdr:cNvSpPr/>
      </xdr:nvSpPr>
      <xdr:spPr>
        <a:xfrm>
          <a:off x="6133900" y="3269047"/>
          <a:ext cx="516355"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12BD7E3B-4135-43BC-A879-C652EA8136A9}" type="TxLink">
            <a:rPr lang="en-US" sz="700" b="0" i="0" u="none" strike="noStrike">
              <a:solidFill>
                <a:srgbClr val="00B0F0"/>
              </a:solidFill>
              <a:latin typeface="Calibri"/>
              <a:cs typeface="Calibri"/>
            </a:rPr>
            <a:pPr algn="ctr"/>
            <a:t>8</a:t>
          </a:fld>
          <a:endParaRPr lang="en-US" sz="700" b="0">
            <a:solidFill>
              <a:srgbClr val="00B0F0"/>
            </a:solidFill>
            <a:latin typeface="Berlin Sans FB" panose="020E0602020502020306" pitchFamily="34" charset="0"/>
          </a:endParaRPr>
        </a:p>
      </xdr:txBody>
    </xdr:sp>
    <xdr:clientData/>
  </xdr:twoCellAnchor>
  <xdr:twoCellAnchor>
    <xdr:from>
      <xdr:col>10</xdr:col>
      <xdr:colOff>52851</xdr:colOff>
      <xdr:row>17</xdr:row>
      <xdr:rowOff>175775</xdr:rowOff>
    </xdr:from>
    <xdr:to>
      <xdr:col>10</xdr:col>
      <xdr:colOff>569206</xdr:colOff>
      <xdr:row>18</xdr:row>
      <xdr:rowOff>140247</xdr:rowOff>
    </xdr:to>
    <xdr:sp macro="" textlink="PivotTable!D31">
      <xdr:nvSpPr>
        <xdr:cNvPr id="166" name="Rectangle 165">
          <a:extLst>
            <a:ext uri="{FF2B5EF4-FFF2-40B4-BE49-F238E27FC236}">
              <a16:creationId xmlns:a16="http://schemas.microsoft.com/office/drawing/2014/main" id="{B0508687-59E9-47D3-B5F3-78270888F429}"/>
            </a:ext>
          </a:extLst>
        </xdr:cNvPr>
        <xdr:cNvSpPr/>
      </xdr:nvSpPr>
      <xdr:spPr>
        <a:xfrm>
          <a:off x="6142047" y="3414275"/>
          <a:ext cx="516355" cy="154972"/>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BC701AB5-BB8E-4D65-8138-AE06F8A13A16}" type="TxLink">
            <a:rPr lang="en-US" sz="700" b="0" i="0" u="none" strike="noStrike">
              <a:solidFill>
                <a:srgbClr val="00B0F0"/>
              </a:solidFill>
              <a:latin typeface="Calibri"/>
              <a:cs typeface="Calibri"/>
            </a:rPr>
            <a:pPr algn="ctr"/>
            <a:t>1</a:t>
          </a:fld>
          <a:endParaRPr lang="en-US" sz="700" b="0">
            <a:solidFill>
              <a:srgbClr val="00B0F0"/>
            </a:solidFill>
            <a:latin typeface="Berlin Sans FB" panose="020E0602020502020306" pitchFamily="34" charset="0"/>
          </a:endParaRPr>
        </a:p>
      </xdr:txBody>
    </xdr:sp>
    <xdr:clientData/>
  </xdr:twoCellAnchor>
  <xdr:twoCellAnchor>
    <xdr:from>
      <xdr:col>10</xdr:col>
      <xdr:colOff>54193</xdr:colOff>
      <xdr:row>18</xdr:row>
      <xdr:rowOff>129309</xdr:rowOff>
    </xdr:from>
    <xdr:to>
      <xdr:col>10</xdr:col>
      <xdr:colOff>570548</xdr:colOff>
      <xdr:row>19</xdr:row>
      <xdr:rowOff>91207</xdr:rowOff>
    </xdr:to>
    <xdr:sp macro="" textlink="PivotTable!E31">
      <xdr:nvSpPr>
        <xdr:cNvPr id="167" name="Rectangle 166">
          <a:extLst>
            <a:ext uri="{FF2B5EF4-FFF2-40B4-BE49-F238E27FC236}">
              <a16:creationId xmlns:a16="http://schemas.microsoft.com/office/drawing/2014/main" id="{81BAA776-C869-408C-AA78-FCE20E84FAB8}"/>
            </a:ext>
          </a:extLst>
        </xdr:cNvPr>
        <xdr:cNvSpPr/>
      </xdr:nvSpPr>
      <xdr:spPr>
        <a:xfrm>
          <a:off x="6143389" y="3558309"/>
          <a:ext cx="516355"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23AE4931-7B98-4874-90F3-058AB18ADE26}" type="TxLink">
            <a:rPr lang="en-US" sz="700" b="0" i="0" u="none" strike="noStrike">
              <a:solidFill>
                <a:srgbClr val="00B0F0"/>
              </a:solidFill>
              <a:latin typeface="Calibri"/>
              <a:cs typeface="Calibri"/>
            </a:rPr>
            <a:pPr algn="ctr"/>
            <a:t>4</a:t>
          </a:fld>
          <a:endParaRPr lang="en-US" sz="700" b="0">
            <a:solidFill>
              <a:srgbClr val="00B0F0"/>
            </a:solidFill>
            <a:latin typeface="Berlin Sans FB" panose="020E0602020502020306" pitchFamily="34" charset="0"/>
          </a:endParaRPr>
        </a:p>
      </xdr:txBody>
    </xdr:sp>
    <xdr:clientData/>
  </xdr:twoCellAnchor>
  <xdr:twoCellAnchor>
    <xdr:from>
      <xdr:col>10</xdr:col>
      <xdr:colOff>58937</xdr:colOff>
      <xdr:row>19</xdr:row>
      <xdr:rowOff>67765</xdr:rowOff>
    </xdr:from>
    <xdr:to>
      <xdr:col>10</xdr:col>
      <xdr:colOff>575292</xdr:colOff>
      <xdr:row>20</xdr:row>
      <xdr:rowOff>32237</xdr:rowOff>
    </xdr:to>
    <xdr:sp macro="" textlink="PivotTable!F31">
      <xdr:nvSpPr>
        <xdr:cNvPr id="168" name="Rectangle 167">
          <a:extLst>
            <a:ext uri="{FF2B5EF4-FFF2-40B4-BE49-F238E27FC236}">
              <a16:creationId xmlns:a16="http://schemas.microsoft.com/office/drawing/2014/main" id="{073F50CC-1670-4D37-899E-0FF9657C6F48}"/>
            </a:ext>
          </a:extLst>
        </xdr:cNvPr>
        <xdr:cNvSpPr/>
      </xdr:nvSpPr>
      <xdr:spPr>
        <a:xfrm>
          <a:off x="6148133" y="3687265"/>
          <a:ext cx="516355" cy="154972"/>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49FBD71-35B7-4150-B7CB-1C598B096A02}" type="TxLink">
            <a:rPr lang="en-US" sz="700" b="0" i="0" u="none" strike="noStrike">
              <a:solidFill>
                <a:srgbClr val="00B0F0"/>
              </a:solidFill>
              <a:latin typeface="Calibri"/>
              <a:cs typeface="Calibri"/>
            </a:rPr>
            <a:pPr algn="ctr"/>
            <a:t>0</a:t>
          </a:fld>
          <a:endParaRPr lang="en-US" sz="700" b="0">
            <a:solidFill>
              <a:srgbClr val="00B0F0"/>
            </a:solidFill>
            <a:latin typeface="Berlin Sans FB" panose="020E0602020502020306" pitchFamily="34" charset="0"/>
          </a:endParaRPr>
        </a:p>
      </xdr:txBody>
    </xdr:sp>
    <xdr:clientData/>
  </xdr:twoCellAnchor>
  <xdr:twoCellAnchor>
    <xdr:from>
      <xdr:col>10</xdr:col>
      <xdr:colOff>60281</xdr:colOff>
      <xdr:row>20</xdr:row>
      <xdr:rowOff>38675</xdr:rowOff>
    </xdr:from>
    <xdr:to>
      <xdr:col>10</xdr:col>
      <xdr:colOff>576636</xdr:colOff>
      <xdr:row>21</xdr:row>
      <xdr:rowOff>572</xdr:rowOff>
    </xdr:to>
    <xdr:sp macro="" textlink="PivotTable!G31">
      <xdr:nvSpPr>
        <xdr:cNvPr id="169" name="Rectangle 168">
          <a:extLst>
            <a:ext uri="{FF2B5EF4-FFF2-40B4-BE49-F238E27FC236}">
              <a16:creationId xmlns:a16="http://schemas.microsoft.com/office/drawing/2014/main" id="{648EBF7A-723C-46A3-8169-1DA14C95D230}"/>
            </a:ext>
          </a:extLst>
        </xdr:cNvPr>
        <xdr:cNvSpPr/>
      </xdr:nvSpPr>
      <xdr:spPr>
        <a:xfrm>
          <a:off x="6149477" y="3848675"/>
          <a:ext cx="516355" cy="152397"/>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F38BA671-B4B2-40B3-BBA3-CF5957160347}" type="TxLink">
            <a:rPr lang="en-US" sz="700" b="0" i="0" u="none" strike="noStrike">
              <a:solidFill>
                <a:srgbClr val="00B0F0"/>
              </a:solidFill>
              <a:latin typeface="Calibri"/>
              <a:cs typeface="Calibri"/>
            </a:rPr>
            <a:pPr algn="ctr"/>
            <a:t>0</a:t>
          </a:fld>
          <a:endParaRPr lang="en-US" sz="700" b="0">
            <a:solidFill>
              <a:srgbClr val="00B0F0"/>
            </a:solidFill>
            <a:latin typeface="Berlin Sans FB" panose="020E0602020502020306" pitchFamily="34" charset="0"/>
          </a:endParaRPr>
        </a:p>
      </xdr:txBody>
    </xdr:sp>
    <xdr:clientData/>
  </xdr:twoCellAnchor>
  <xdr:twoCellAnchor>
    <xdr:from>
      <xdr:col>10</xdr:col>
      <xdr:colOff>65023</xdr:colOff>
      <xdr:row>20</xdr:row>
      <xdr:rowOff>173328</xdr:rowOff>
    </xdr:from>
    <xdr:to>
      <xdr:col>10</xdr:col>
      <xdr:colOff>581378</xdr:colOff>
      <xdr:row>21</xdr:row>
      <xdr:rowOff>135226</xdr:rowOff>
    </xdr:to>
    <xdr:sp macro="" textlink="PivotTable!H31">
      <xdr:nvSpPr>
        <xdr:cNvPr id="170" name="Rectangle 169">
          <a:extLst>
            <a:ext uri="{FF2B5EF4-FFF2-40B4-BE49-F238E27FC236}">
              <a16:creationId xmlns:a16="http://schemas.microsoft.com/office/drawing/2014/main" id="{88344EC3-A6BE-4FC2-BF20-9F698059FFC8}"/>
            </a:ext>
          </a:extLst>
        </xdr:cNvPr>
        <xdr:cNvSpPr/>
      </xdr:nvSpPr>
      <xdr:spPr>
        <a:xfrm>
          <a:off x="6154219" y="3983328"/>
          <a:ext cx="516355" cy="152398"/>
        </a:xfrm>
        <a:prstGeom prst="rect">
          <a:avLst/>
        </a:prstGeom>
        <a:noFill/>
        <a:ln>
          <a:noFill/>
        </a:ln>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A8E27187-4BA4-4080-B72A-B200651B4862}" type="TxLink">
            <a:rPr lang="en-US" sz="700" b="0" i="0" u="none" strike="noStrike">
              <a:solidFill>
                <a:srgbClr val="00B0F0"/>
              </a:solidFill>
              <a:latin typeface="Calibri"/>
              <a:cs typeface="Calibri"/>
            </a:rPr>
            <a:pPr algn="ctr"/>
            <a:t>1</a:t>
          </a:fld>
          <a:endParaRPr lang="en-US" sz="700" b="0">
            <a:solidFill>
              <a:srgbClr val="00B0F0"/>
            </a:solidFill>
            <a:latin typeface="Berlin Sans FB" panose="020E0602020502020306" pitchFamily="34" charset="0"/>
          </a:endParaRPr>
        </a:p>
      </xdr:txBody>
    </xdr:sp>
    <xdr:clientData/>
  </xdr:twoCellAnchor>
  <xdr:twoCellAnchor>
    <xdr:from>
      <xdr:col>9</xdr:col>
      <xdr:colOff>114300</xdr:colOff>
      <xdr:row>1</xdr:row>
      <xdr:rowOff>123825</xdr:rowOff>
    </xdr:from>
    <xdr:to>
      <xdr:col>16</xdr:col>
      <xdr:colOff>66676</xdr:colOff>
      <xdr:row>12</xdr:row>
      <xdr:rowOff>0</xdr:rowOff>
    </xdr:to>
    <xdr:graphicFrame macro="">
      <xdr:nvGraphicFramePr>
        <xdr:cNvPr id="171" name="Chart 170">
          <a:extLst>
            <a:ext uri="{FF2B5EF4-FFF2-40B4-BE49-F238E27FC236}">
              <a16:creationId xmlns:a16="http://schemas.microsoft.com/office/drawing/2014/main" id="{96C853F0-6CDC-48E7-9E0C-659C250ED8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289745</xdr:colOff>
      <xdr:row>15</xdr:row>
      <xdr:rowOff>139298</xdr:rowOff>
    </xdr:from>
    <xdr:to>
      <xdr:col>8</xdr:col>
      <xdr:colOff>291186</xdr:colOff>
      <xdr:row>21</xdr:row>
      <xdr:rowOff>148298</xdr:rowOff>
    </xdr:to>
    <xdr:cxnSp macro="">
      <xdr:nvCxnSpPr>
        <xdr:cNvPr id="172" name="Straight Connector 171">
          <a:extLst>
            <a:ext uri="{FF2B5EF4-FFF2-40B4-BE49-F238E27FC236}">
              <a16:creationId xmlns:a16="http://schemas.microsoft.com/office/drawing/2014/main" id="{1C6C4CFA-2765-4C35-8DAA-6BE98BD9376E}"/>
            </a:ext>
          </a:extLst>
        </xdr:cNvPr>
        <xdr:cNvCxnSpPr/>
      </xdr:nvCxnSpPr>
      <xdr:spPr>
        <a:xfrm>
          <a:off x="5166545" y="2996798"/>
          <a:ext cx="1441" cy="1152000"/>
        </a:xfrm>
        <a:prstGeom prst="line">
          <a:avLst/>
        </a:prstGeom>
        <a:ln>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496483</xdr:colOff>
      <xdr:row>1</xdr:row>
      <xdr:rowOff>123824</xdr:rowOff>
    </xdr:from>
    <xdr:to>
      <xdr:col>17</xdr:col>
      <xdr:colOff>134534</xdr:colOff>
      <xdr:row>8</xdr:row>
      <xdr:rowOff>85725</xdr:rowOff>
    </xdr:to>
    <xdr:graphicFrame macro="">
      <xdr:nvGraphicFramePr>
        <xdr:cNvPr id="173" name="Chart 172">
          <a:extLst>
            <a:ext uri="{FF2B5EF4-FFF2-40B4-BE49-F238E27FC236}">
              <a16:creationId xmlns:a16="http://schemas.microsoft.com/office/drawing/2014/main" id="{B4F38FB0-76D8-47F9-AE1D-91E73861F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11</xdr:col>
      <xdr:colOff>600075</xdr:colOff>
      <xdr:row>7</xdr:row>
      <xdr:rowOff>155226</xdr:rowOff>
    </xdr:from>
    <xdr:ext cx="792000" cy="180000"/>
    <xdr:sp macro="" textlink="">
      <xdr:nvSpPr>
        <xdr:cNvPr id="174" name="TextBox 173">
          <a:extLst>
            <a:ext uri="{FF2B5EF4-FFF2-40B4-BE49-F238E27FC236}">
              <a16:creationId xmlns:a16="http://schemas.microsoft.com/office/drawing/2014/main" id="{2E6C8880-6118-4F6A-964D-EF7F22CEFE71}"/>
            </a:ext>
          </a:extLst>
        </xdr:cNvPr>
        <xdr:cNvSpPr txBox="1"/>
      </xdr:nvSpPr>
      <xdr:spPr>
        <a:xfrm>
          <a:off x="7305675" y="1488726"/>
          <a:ext cx="792000" cy="180000"/>
        </a:xfrm>
        <a:prstGeom prst="roundRect">
          <a:avLst/>
        </a:prstGeom>
        <a:ln>
          <a:noFill/>
        </a:ln>
        <a:effectLst>
          <a:outerShdw blurRad="50800" dist="38100" dir="5400000" algn="t" rotWithShape="0">
            <a:prstClr val="black">
              <a:alpha val="40000"/>
            </a:prstClr>
          </a:outerShdw>
          <a:softEdge rad="31750"/>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spAutoFit/>
        </a:bodyPr>
        <a:lstStyle/>
        <a:p>
          <a:pPr algn="ctr"/>
          <a:r>
            <a:rPr lang="en-ID" sz="700" b="0" cap="none" spc="0">
              <a:ln w="0"/>
              <a:solidFill>
                <a:schemeClr val="bg1"/>
              </a:solidFill>
              <a:effectLst/>
              <a:latin typeface="Berlin Sans FB" panose="020E0602020502020306" pitchFamily="34" charset="0"/>
            </a:rPr>
            <a:t>Sumber Air</a:t>
          </a:r>
        </a:p>
      </xdr:txBody>
    </xdr:sp>
    <xdr:clientData/>
  </xdr:oneCellAnchor>
  <xdr:oneCellAnchor>
    <xdr:from>
      <xdr:col>12</xdr:col>
      <xdr:colOff>400050</xdr:colOff>
      <xdr:row>0</xdr:row>
      <xdr:rowOff>109742</xdr:rowOff>
    </xdr:from>
    <xdr:ext cx="1257300" cy="254172"/>
    <xdr:sp macro="" textlink="">
      <xdr:nvSpPr>
        <xdr:cNvPr id="175" name="TextBox 174">
          <a:extLst>
            <a:ext uri="{FF2B5EF4-FFF2-40B4-BE49-F238E27FC236}">
              <a16:creationId xmlns:a16="http://schemas.microsoft.com/office/drawing/2014/main" id="{3934C590-6652-471C-9B7F-EBB4A79D5DF7}"/>
            </a:ext>
          </a:extLst>
        </xdr:cNvPr>
        <xdr:cNvSpPr txBox="1"/>
      </xdr:nvSpPr>
      <xdr:spPr>
        <a:xfrm>
          <a:off x="7715250" y="109742"/>
          <a:ext cx="1257300" cy="254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050" b="0" cap="none" spc="0">
              <a:ln w="0"/>
              <a:solidFill>
                <a:srgbClr val="FFC000"/>
              </a:solidFill>
              <a:effectLst>
                <a:outerShdw blurRad="38100" dist="25400" dir="5400000" algn="ctr" rotWithShape="0">
                  <a:srgbClr val="6E747A">
                    <a:alpha val="43000"/>
                  </a:srgbClr>
                </a:outerShdw>
                <a:reflection blurRad="6350" stA="55000" endA="300" endPos="45500" dir="5400000" sy="-100000" algn="bl" rotWithShape="0"/>
              </a:effectLst>
              <a:latin typeface="Century Schoolbook" panose="02040604050505020304" pitchFamily="18" charset="0"/>
              <a:cs typeface="Aharoni" panose="02010803020104030203" pitchFamily="2" charset="-79"/>
            </a:rPr>
            <a:t>DATA DESA</a:t>
          </a:r>
        </a:p>
      </xdr:txBody>
    </xdr:sp>
    <xdr:clientData/>
  </xdr:oneCellAnchor>
  <xdr:oneCellAnchor>
    <xdr:from>
      <xdr:col>3</xdr:col>
      <xdr:colOff>85724</xdr:colOff>
      <xdr:row>15</xdr:row>
      <xdr:rowOff>11619</xdr:rowOff>
    </xdr:from>
    <xdr:ext cx="1152526" cy="219564"/>
    <xdr:sp macro="" textlink="">
      <xdr:nvSpPr>
        <xdr:cNvPr id="177" name="TextBox 176">
          <a:extLst>
            <a:ext uri="{FF2B5EF4-FFF2-40B4-BE49-F238E27FC236}">
              <a16:creationId xmlns:a16="http://schemas.microsoft.com/office/drawing/2014/main" id="{69E0473E-53AF-4079-9F1A-CA9F6A4DFBB4}"/>
            </a:ext>
          </a:extLst>
        </xdr:cNvPr>
        <xdr:cNvSpPr txBox="1"/>
      </xdr:nvSpPr>
      <xdr:spPr>
        <a:xfrm>
          <a:off x="1914524" y="2869119"/>
          <a:ext cx="1152526" cy="219564"/>
        </a:xfrm>
        <a:prstGeom prst="roundRect">
          <a:avLst/>
        </a:prstGeom>
        <a:noFill/>
        <a:ln>
          <a:noFill/>
        </a:ln>
        <a:effectLst>
          <a:outerShdw blurRad="50800" dist="38100" dir="5400000" algn="t" rotWithShape="0">
            <a:prstClr val="black">
              <a:alpha val="40000"/>
            </a:prstClr>
          </a:outerShdw>
          <a:softEdge rad="31750"/>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spAutoFit/>
        </a:bodyPr>
        <a:lstStyle/>
        <a:p>
          <a:pPr algn="ctr"/>
          <a:r>
            <a:rPr lang="en-ID" sz="700" b="0" cap="none" spc="0">
              <a:ln w="0"/>
              <a:solidFill>
                <a:schemeClr val="bg1">
                  <a:lumMod val="85000"/>
                </a:schemeClr>
              </a:solidFill>
              <a:effectLst/>
              <a:latin typeface="Berlin Sans FB" panose="020E0602020502020306" pitchFamily="34" charset="0"/>
            </a:rPr>
            <a:t>Tempat Peribadatan</a:t>
          </a:r>
        </a:p>
      </xdr:txBody>
    </xdr:sp>
    <xdr:clientData/>
  </xdr:oneCellAnchor>
  <xdr:oneCellAnchor>
    <xdr:from>
      <xdr:col>6</xdr:col>
      <xdr:colOff>438149</xdr:colOff>
      <xdr:row>17</xdr:row>
      <xdr:rowOff>111019</xdr:rowOff>
    </xdr:from>
    <xdr:ext cx="936000" cy="211264"/>
    <xdr:sp macro="" textlink="">
      <xdr:nvSpPr>
        <xdr:cNvPr id="178" name="TextBox 177">
          <a:extLst>
            <a:ext uri="{FF2B5EF4-FFF2-40B4-BE49-F238E27FC236}">
              <a16:creationId xmlns:a16="http://schemas.microsoft.com/office/drawing/2014/main" id="{8105DCD2-8FC9-4F21-8595-4237214B0C8C}"/>
            </a:ext>
          </a:extLst>
        </xdr:cNvPr>
        <xdr:cNvSpPr txBox="1"/>
      </xdr:nvSpPr>
      <xdr:spPr>
        <a:xfrm>
          <a:off x="4095749" y="3349519"/>
          <a:ext cx="936000" cy="211264"/>
        </a:xfrm>
        <a:prstGeom prst="roundRect">
          <a:avLst/>
        </a:prstGeom>
        <a:noFill/>
        <a:ln>
          <a:noFill/>
        </a:ln>
        <a:effectLst>
          <a:outerShdw blurRad="50800" dist="38100" dir="5400000" algn="t" rotWithShape="0">
            <a:prstClr val="black">
              <a:alpha val="40000"/>
            </a:prstClr>
          </a:outerShdw>
          <a:softEdge rad="31750"/>
        </a:effectLst>
      </xdr:spPr>
      <xdr:style>
        <a:lnRef idx="3">
          <a:schemeClr val="lt1"/>
        </a:lnRef>
        <a:fillRef idx="1">
          <a:schemeClr val="accent1"/>
        </a:fillRef>
        <a:effectRef idx="1">
          <a:schemeClr val="accent1"/>
        </a:effectRef>
        <a:fontRef idx="minor">
          <a:schemeClr val="lt1"/>
        </a:fontRef>
      </xdr:style>
      <xdr:txBody>
        <a:bodyPr vertOverflow="clip" horzOverflow="clip" wrap="square" rtlCol="0" anchor="ctr">
          <a:spAutoFit/>
        </a:bodyPr>
        <a:lstStyle/>
        <a:p>
          <a:pPr algn="ctr"/>
          <a:r>
            <a:rPr lang="en-ID" sz="700" b="0" cap="none" spc="0">
              <a:ln w="0"/>
              <a:solidFill>
                <a:schemeClr val="bg1">
                  <a:lumMod val="85000"/>
                </a:schemeClr>
              </a:solidFill>
              <a:effectLst/>
              <a:latin typeface="Berlin Sans FB" panose="020E0602020502020306" pitchFamily="34" charset="0"/>
            </a:rPr>
            <a:t>Jumlah Penduduk</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47625</xdr:rowOff>
    </xdr:from>
    <xdr:to>
      <xdr:col>2</xdr:col>
      <xdr:colOff>314325</xdr:colOff>
      <xdr:row>12</xdr:row>
      <xdr:rowOff>47625</xdr:rowOff>
    </xdr:to>
    <mc:AlternateContent xmlns:mc="http://schemas.openxmlformats.org/markup-compatibility/2006" xmlns:a14="http://schemas.microsoft.com/office/drawing/2010/main">
      <mc:Choice Requires="a14">
        <xdr:graphicFrame macro="">
          <xdr:nvGraphicFramePr>
            <xdr:cNvPr id="3" name="Tahun 1">
              <a:extLst>
                <a:ext uri="{FF2B5EF4-FFF2-40B4-BE49-F238E27FC236}">
                  <a16:creationId xmlns:a16="http://schemas.microsoft.com/office/drawing/2014/main" id="{FEABD785-72B9-4FD2-8DA8-6E84B4E7E6E6}"/>
                </a:ext>
              </a:extLst>
            </xdr:cNvPr>
            <xdr:cNvGraphicFramePr/>
          </xdr:nvGraphicFramePr>
          <xdr:xfrm>
            <a:off x="0" y="0"/>
            <a:ext cx="0" cy="0"/>
          </xdr:xfrm>
          <a:graphic>
            <a:graphicData uri="http://schemas.microsoft.com/office/drawing/2010/slicer">
              <sle:slicer xmlns:sle="http://schemas.microsoft.com/office/drawing/2010/slicer" name="Tahun 1"/>
            </a:graphicData>
          </a:graphic>
        </xdr:graphicFrame>
      </mc:Choice>
      <mc:Fallback xmlns="">
        <xdr:sp macro="" textlink="">
          <xdr:nvSpPr>
            <xdr:cNvPr id="0" name=""/>
            <xdr:cNvSpPr>
              <a:spLocks noTextEdit="1"/>
            </xdr:cNvSpPr>
          </xdr:nvSpPr>
          <xdr:spPr>
            <a:xfrm>
              <a:off x="76200" y="47625"/>
              <a:ext cx="1457325" cy="228600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371475</xdr:colOff>
      <xdr:row>0</xdr:row>
      <xdr:rowOff>38100</xdr:rowOff>
    </xdr:from>
    <xdr:to>
      <xdr:col>10</xdr:col>
      <xdr:colOff>171450</xdr:colOff>
      <xdr:row>22</xdr:row>
      <xdr:rowOff>9526</xdr:rowOff>
    </xdr:to>
    <xdr:sp macro="" textlink="">
      <xdr:nvSpPr>
        <xdr:cNvPr id="4" name="Rectangle 3">
          <a:extLst>
            <a:ext uri="{FF2B5EF4-FFF2-40B4-BE49-F238E27FC236}">
              <a16:creationId xmlns:a16="http://schemas.microsoft.com/office/drawing/2014/main" id="{2AEAF609-2F21-48BE-8701-D9124D41B647}"/>
            </a:ext>
          </a:extLst>
        </xdr:cNvPr>
        <xdr:cNvSpPr/>
      </xdr:nvSpPr>
      <xdr:spPr>
        <a:xfrm>
          <a:off x="1590675" y="38100"/>
          <a:ext cx="4676775" cy="4162426"/>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oneCellAnchor>
    <xdr:from>
      <xdr:col>2</xdr:col>
      <xdr:colOff>609599</xdr:colOff>
      <xdr:row>0</xdr:row>
      <xdr:rowOff>123826</xdr:rowOff>
    </xdr:from>
    <xdr:ext cx="4105275" cy="259174"/>
    <xdr:sp macro="" textlink="">
      <xdr:nvSpPr>
        <xdr:cNvPr id="5" name="TextBox 4">
          <a:extLst>
            <a:ext uri="{FF2B5EF4-FFF2-40B4-BE49-F238E27FC236}">
              <a16:creationId xmlns:a16="http://schemas.microsoft.com/office/drawing/2014/main" id="{9098FAD9-8CBC-4435-9B89-731B3D7EC3B1}"/>
            </a:ext>
          </a:extLst>
        </xdr:cNvPr>
        <xdr:cNvSpPr txBox="1"/>
      </xdr:nvSpPr>
      <xdr:spPr>
        <a:xfrm>
          <a:off x="1828799" y="123826"/>
          <a:ext cx="4105275" cy="25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ID" sz="1100" b="0" cap="none" spc="0">
              <a:ln w="0"/>
              <a:solidFill>
                <a:srgbClr val="FF743D"/>
              </a:solidFill>
              <a:effectLst>
                <a:reflection blurRad="6350" stA="53000" endA="300" endPos="35500" dir="5400000" sy="-90000" algn="bl" rotWithShape="0"/>
              </a:effectLst>
              <a:latin typeface="Bodoni Bd BT" panose="02070803080706020303" pitchFamily="18" charset="0"/>
            </a:rPr>
            <a:t>Jumlah</a:t>
          </a:r>
          <a:r>
            <a:rPr lang="en-ID" sz="1100" b="0" cap="none" spc="0" baseline="0">
              <a:ln w="0"/>
              <a:solidFill>
                <a:srgbClr val="FF743D"/>
              </a:solidFill>
              <a:effectLst>
                <a:reflection blurRad="6350" stA="53000" endA="300" endPos="35500" dir="5400000" sy="-90000" algn="bl" rotWithShape="0"/>
              </a:effectLst>
              <a:latin typeface="Bodoni Bd BT" panose="02070803080706020303" pitchFamily="18" charset="0"/>
            </a:rPr>
            <a:t> Pelayanan Pemerintahan Kecamatan Ampelgading</a:t>
          </a:r>
          <a:endParaRPr lang="en-ID" sz="1100" b="0" cap="none" spc="0">
            <a:ln w="0"/>
            <a:solidFill>
              <a:srgbClr val="FF743D"/>
            </a:solidFill>
            <a:effectLst>
              <a:reflection blurRad="6350" stA="53000" endA="300" endPos="35500" dir="5400000" sy="-90000" algn="bl" rotWithShape="0"/>
            </a:effectLst>
            <a:latin typeface="Bodoni Bd BT" panose="02070803080706020303" pitchFamily="18" charset="0"/>
          </a:endParaRPr>
        </a:p>
      </xdr:txBody>
    </xdr:sp>
    <xdr:clientData/>
  </xdr:oneCellAnchor>
  <xdr:twoCellAnchor editAs="oneCell">
    <xdr:from>
      <xdr:col>3</xdr:col>
      <xdr:colOff>28575</xdr:colOff>
      <xdr:row>2</xdr:row>
      <xdr:rowOff>85725</xdr:rowOff>
    </xdr:from>
    <xdr:to>
      <xdr:col>8</xdr:col>
      <xdr:colOff>95250</xdr:colOff>
      <xdr:row>21</xdr:row>
      <xdr:rowOff>123824</xdr:rowOff>
    </xdr:to>
    <xdr:pic>
      <xdr:nvPicPr>
        <xdr:cNvPr id="11" name="Picture 10">
          <a:extLst>
            <a:ext uri="{FF2B5EF4-FFF2-40B4-BE49-F238E27FC236}">
              <a16:creationId xmlns:a16="http://schemas.microsoft.com/office/drawing/2014/main" id="{A03BCFF1-6F3C-BCD6-0E5A-1F39A91DBE32}"/>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34" t="7202" r="1066" b="7299"/>
        <a:stretch/>
      </xdr:blipFill>
      <xdr:spPr bwMode="auto">
        <a:xfrm>
          <a:off x="1857375" y="466725"/>
          <a:ext cx="3114675" cy="3657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466725</xdr:colOff>
      <xdr:row>2</xdr:row>
      <xdr:rowOff>171450</xdr:rowOff>
    </xdr:from>
    <xdr:to>
      <xdr:col>9</xdr:col>
      <xdr:colOff>433125</xdr:colOff>
      <xdr:row>3</xdr:row>
      <xdr:rowOff>152400</xdr:rowOff>
    </xdr:to>
    <xdr:sp macro="" textlink="PivotTableTambahan!A4">
      <xdr:nvSpPr>
        <xdr:cNvPr id="12" name="Rectangle: Rounded Corners 11">
          <a:extLst>
            <a:ext uri="{FF2B5EF4-FFF2-40B4-BE49-F238E27FC236}">
              <a16:creationId xmlns:a16="http://schemas.microsoft.com/office/drawing/2014/main" id="{9F2D8667-24F6-446A-AEEB-84998B278904}"/>
            </a:ext>
          </a:extLst>
        </xdr:cNvPr>
        <xdr:cNvSpPr/>
      </xdr:nvSpPr>
      <xdr:spPr>
        <a:xfrm>
          <a:off x="5343525" y="55245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DD10EE6B-FC18-4240-BABF-389AB51EA225}"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466725</xdr:colOff>
      <xdr:row>4</xdr:row>
      <xdr:rowOff>85725</xdr:rowOff>
    </xdr:from>
    <xdr:to>
      <xdr:col>9</xdr:col>
      <xdr:colOff>433125</xdr:colOff>
      <xdr:row>5</xdr:row>
      <xdr:rowOff>66675</xdr:rowOff>
    </xdr:to>
    <xdr:sp macro="" textlink="PivotTableTambahan!B4">
      <xdr:nvSpPr>
        <xdr:cNvPr id="14" name="Rectangle: Rounded Corners 13">
          <a:extLst>
            <a:ext uri="{FF2B5EF4-FFF2-40B4-BE49-F238E27FC236}">
              <a16:creationId xmlns:a16="http://schemas.microsoft.com/office/drawing/2014/main" id="{72482496-88E3-44FB-8B04-22121F8962B3}"/>
            </a:ext>
          </a:extLst>
        </xdr:cNvPr>
        <xdr:cNvSpPr/>
      </xdr:nvSpPr>
      <xdr:spPr>
        <a:xfrm>
          <a:off x="5343525" y="847725"/>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EDB028B5-2BCF-4A9F-85B1-0322FEBC9C9D}"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466725</xdr:colOff>
      <xdr:row>6</xdr:row>
      <xdr:rowOff>0</xdr:rowOff>
    </xdr:from>
    <xdr:to>
      <xdr:col>9</xdr:col>
      <xdr:colOff>433125</xdr:colOff>
      <xdr:row>6</xdr:row>
      <xdr:rowOff>171450</xdr:rowOff>
    </xdr:to>
    <xdr:sp macro="" textlink="PivotTableTambahan!C4">
      <xdr:nvSpPr>
        <xdr:cNvPr id="15" name="Rectangle: Rounded Corners 14">
          <a:extLst>
            <a:ext uri="{FF2B5EF4-FFF2-40B4-BE49-F238E27FC236}">
              <a16:creationId xmlns:a16="http://schemas.microsoft.com/office/drawing/2014/main" id="{A780CA4D-6C9D-4ED2-9973-D3CC8A637EA7}"/>
            </a:ext>
          </a:extLst>
        </xdr:cNvPr>
        <xdr:cNvSpPr/>
      </xdr:nvSpPr>
      <xdr:spPr>
        <a:xfrm>
          <a:off x="5343525" y="114300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A44E1FFE-AB9B-440E-AB5F-F2A3EC2791ED}"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466725</xdr:colOff>
      <xdr:row>7</xdr:row>
      <xdr:rowOff>104775</xdr:rowOff>
    </xdr:from>
    <xdr:to>
      <xdr:col>9</xdr:col>
      <xdr:colOff>433125</xdr:colOff>
      <xdr:row>8</xdr:row>
      <xdr:rowOff>85725</xdr:rowOff>
    </xdr:to>
    <xdr:sp macro="" textlink="PivotTableTambahan!D4">
      <xdr:nvSpPr>
        <xdr:cNvPr id="16" name="Rectangle: Rounded Corners 15">
          <a:extLst>
            <a:ext uri="{FF2B5EF4-FFF2-40B4-BE49-F238E27FC236}">
              <a16:creationId xmlns:a16="http://schemas.microsoft.com/office/drawing/2014/main" id="{567C2370-6880-4A13-9133-C8ECE9C243B3}"/>
            </a:ext>
          </a:extLst>
        </xdr:cNvPr>
        <xdr:cNvSpPr/>
      </xdr:nvSpPr>
      <xdr:spPr>
        <a:xfrm>
          <a:off x="5343525" y="1438275"/>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293DD0B5-D07F-4E9E-9F39-6FE7AC8D32BF}"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466725</xdr:colOff>
      <xdr:row>9</xdr:row>
      <xdr:rowOff>0</xdr:rowOff>
    </xdr:from>
    <xdr:to>
      <xdr:col>9</xdr:col>
      <xdr:colOff>433125</xdr:colOff>
      <xdr:row>9</xdr:row>
      <xdr:rowOff>171450</xdr:rowOff>
    </xdr:to>
    <xdr:sp macro="" textlink="PivotTableTambahan!E4">
      <xdr:nvSpPr>
        <xdr:cNvPr id="17" name="Rectangle: Rounded Corners 16">
          <a:extLst>
            <a:ext uri="{FF2B5EF4-FFF2-40B4-BE49-F238E27FC236}">
              <a16:creationId xmlns:a16="http://schemas.microsoft.com/office/drawing/2014/main" id="{7A43146F-BDED-4729-B0B1-69B2EB5C418F}"/>
            </a:ext>
          </a:extLst>
        </xdr:cNvPr>
        <xdr:cNvSpPr/>
      </xdr:nvSpPr>
      <xdr:spPr>
        <a:xfrm>
          <a:off x="5343525" y="171450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BA19E537-3B4D-434C-B2AD-3A439F648EDB}"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466725</xdr:colOff>
      <xdr:row>10</xdr:row>
      <xdr:rowOff>104775</xdr:rowOff>
    </xdr:from>
    <xdr:to>
      <xdr:col>9</xdr:col>
      <xdr:colOff>433125</xdr:colOff>
      <xdr:row>11</xdr:row>
      <xdr:rowOff>85725</xdr:rowOff>
    </xdr:to>
    <xdr:sp macro="" textlink="PivotTableTambahan!F4">
      <xdr:nvSpPr>
        <xdr:cNvPr id="18" name="Rectangle: Rounded Corners 17">
          <a:extLst>
            <a:ext uri="{FF2B5EF4-FFF2-40B4-BE49-F238E27FC236}">
              <a16:creationId xmlns:a16="http://schemas.microsoft.com/office/drawing/2014/main" id="{9386C384-B1B6-44A0-BF82-DF6DE9CB1FD7}"/>
            </a:ext>
          </a:extLst>
        </xdr:cNvPr>
        <xdr:cNvSpPr/>
      </xdr:nvSpPr>
      <xdr:spPr>
        <a:xfrm>
          <a:off x="5343525" y="2009775"/>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DC57F120-87AC-4EE1-A7C8-79116775E0CF}"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476250</xdr:colOff>
      <xdr:row>12</xdr:row>
      <xdr:rowOff>76200</xdr:rowOff>
    </xdr:from>
    <xdr:to>
      <xdr:col>9</xdr:col>
      <xdr:colOff>442650</xdr:colOff>
      <xdr:row>13</xdr:row>
      <xdr:rowOff>57150</xdr:rowOff>
    </xdr:to>
    <xdr:sp macro="" textlink="PivotTableTambahan!G4">
      <xdr:nvSpPr>
        <xdr:cNvPr id="19" name="Rectangle: Rounded Corners 18">
          <a:extLst>
            <a:ext uri="{FF2B5EF4-FFF2-40B4-BE49-F238E27FC236}">
              <a16:creationId xmlns:a16="http://schemas.microsoft.com/office/drawing/2014/main" id="{BC6C53D9-FF8E-43E1-A9DA-E8FDB7AA0ACD}"/>
            </a:ext>
          </a:extLst>
        </xdr:cNvPr>
        <xdr:cNvSpPr/>
      </xdr:nvSpPr>
      <xdr:spPr>
        <a:xfrm>
          <a:off x="5353050" y="236220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8BEAD598-B4FB-4468-85A8-6F8480C40DDA}"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476250</xdr:colOff>
      <xdr:row>14</xdr:row>
      <xdr:rowOff>47625</xdr:rowOff>
    </xdr:from>
    <xdr:to>
      <xdr:col>9</xdr:col>
      <xdr:colOff>442650</xdr:colOff>
      <xdr:row>15</xdr:row>
      <xdr:rowOff>28575</xdr:rowOff>
    </xdr:to>
    <xdr:sp macro="" textlink="PivotTableTambahan!H4">
      <xdr:nvSpPr>
        <xdr:cNvPr id="20" name="Rectangle: Rounded Corners 19">
          <a:extLst>
            <a:ext uri="{FF2B5EF4-FFF2-40B4-BE49-F238E27FC236}">
              <a16:creationId xmlns:a16="http://schemas.microsoft.com/office/drawing/2014/main" id="{D7073625-521D-4D0C-B956-42AA2E157D28}"/>
            </a:ext>
          </a:extLst>
        </xdr:cNvPr>
        <xdr:cNvSpPr/>
      </xdr:nvSpPr>
      <xdr:spPr>
        <a:xfrm>
          <a:off x="5353050" y="2714625"/>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C195AD60-A99B-4735-BD0A-0727F7845260}"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476250</xdr:colOff>
      <xdr:row>16</xdr:row>
      <xdr:rowOff>19050</xdr:rowOff>
    </xdr:from>
    <xdr:to>
      <xdr:col>9</xdr:col>
      <xdr:colOff>442650</xdr:colOff>
      <xdr:row>17</xdr:row>
      <xdr:rowOff>0</xdr:rowOff>
    </xdr:to>
    <xdr:sp macro="" textlink="PivotTableTambahan!I4">
      <xdr:nvSpPr>
        <xdr:cNvPr id="21" name="Rectangle: Rounded Corners 20">
          <a:extLst>
            <a:ext uri="{FF2B5EF4-FFF2-40B4-BE49-F238E27FC236}">
              <a16:creationId xmlns:a16="http://schemas.microsoft.com/office/drawing/2014/main" id="{33443ABA-88E7-468B-9F5E-571C7C6040BF}"/>
            </a:ext>
          </a:extLst>
        </xdr:cNvPr>
        <xdr:cNvSpPr/>
      </xdr:nvSpPr>
      <xdr:spPr>
        <a:xfrm>
          <a:off x="5353050" y="306705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033B581-1A94-4A1E-93C4-3979AF76A1D6}"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476250</xdr:colOff>
      <xdr:row>17</xdr:row>
      <xdr:rowOff>133350</xdr:rowOff>
    </xdr:from>
    <xdr:to>
      <xdr:col>9</xdr:col>
      <xdr:colOff>442650</xdr:colOff>
      <xdr:row>18</xdr:row>
      <xdr:rowOff>114300</xdr:rowOff>
    </xdr:to>
    <xdr:sp macro="" textlink="PivotTableTambahan!J4">
      <xdr:nvSpPr>
        <xdr:cNvPr id="22" name="Rectangle: Rounded Corners 21">
          <a:extLst>
            <a:ext uri="{FF2B5EF4-FFF2-40B4-BE49-F238E27FC236}">
              <a16:creationId xmlns:a16="http://schemas.microsoft.com/office/drawing/2014/main" id="{16E6E59C-AB77-42EB-AB4B-1AE94137D26E}"/>
            </a:ext>
          </a:extLst>
        </xdr:cNvPr>
        <xdr:cNvSpPr/>
      </xdr:nvSpPr>
      <xdr:spPr>
        <a:xfrm>
          <a:off x="5353050" y="337185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6AF2A0F6-31EC-433B-B11C-FEB10A5BEEB1}" type="TxLink">
            <a:rPr lang="en-US" sz="1100" b="1" i="0" u="none" strike="noStrike">
              <a:solidFill>
                <a:srgbClr val="002060"/>
              </a:solidFill>
              <a:latin typeface="Bell MT" panose="02020503060305020303" pitchFamily="18" charset="0"/>
              <a:cs typeface="Calibri"/>
            </a:rPr>
            <a:pPr algn="ctr"/>
            <a:t>9</a:t>
          </a:fld>
          <a:endParaRPr lang="en-ID" sz="100" b="1">
            <a:solidFill>
              <a:srgbClr val="002060"/>
            </a:solidFill>
            <a:latin typeface="Bell MT" panose="02020503060305020303" pitchFamily="18" charset="0"/>
          </a:endParaRPr>
        </a:p>
      </xdr:txBody>
    </xdr:sp>
    <xdr:clientData/>
  </xdr:twoCellAnchor>
  <xdr:twoCellAnchor>
    <xdr:from>
      <xdr:col>8</xdr:col>
      <xdr:colOff>485775</xdr:colOff>
      <xdr:row>19</xdr:row>
      <xdr:rowOff>38100</xdr:rowOff>
    </xdr:from>
    <xdr:to>
      <xdr:col>9</xdr:col>
      <xdr:colOff>452175</xdr:colOff>
      <xdr:row>20</xdr:row>
      <xdr:rowOff>19050</xdr:rowOff>
    </xdr:to>
    <xdr:sp macro="" textlink="PivotTableTambahan!K4">
      <xdr:nvSpPr>
        <xdr:cNvPr id="23" name="Rectangle: Rounded Corners 22">
          <a:extLst>
            <a:ext uri="{FF2B5EF4-FFF2-40B4-BE49-F238E27FC236}">
              <a16:creationId xmlns:a16="http://schemas.microsoft.com/office/drawing/2014/main" id="{AAEBD918-61A3-479F-B9D5-F3B2F4170697}"/>
            </a:ext>
          </a:extLst>
        </xdr:cNvPr>
        <xdr:cNvSpPr/>
      </xdr:nvSpPr>
      <xdr:spPr>
        <a:xfrm>
          <a:off x="5362575" y="3657600"/>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17690F4F-73AA-4F49-9139-D4F70889FFA8}"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8</xdr:col>
      <xdr:colOff>495300</xdr:colOff>
      <xdr:row>20</xdr:row>
      <xdr:rowOff>104775</xdr:rowOff>
    </xdr:from>
    <xdr:to>
      <xdr:col>9</xdr:col>
      <xdr:colOff>461700</xdr:colOff>
      <xdr:row>21</xdr:row>
      <xdr:rowOff>85725</xdr:rowOff>
    </xdr:to>
    <xdr:sp macro="" textlink="PivotTableTambahan!L4">
      <xdr:nvSpPr>
        <xdr:cNvPr id="24" name="Rectangle: Rounded Corners 23">
          <a:extLst>
            <a:ext uri="{FF2B5EF4-FFF2-40B4-BE49-F238E27FC236}">
              <a16:creationId xmlns:a16="http://schemas.microsoft.com/office/drawing/2014/main" id="{0BB99E83-CAC8-4B27-A359-6D69BDB67D49}"/>
            </a:ext>
          </a:extLst>
        </xdr:cNvPr>
        <xdr:cNvSpPr/>
      </xdr:nvSpPr>
      <xdr:spPr>
        <a:xfrm>
          <a:off x="5372100" y="3914775"/>
          <a:ext cx="576000" cy="171450"/>
        </a:xfrm>
        <a:prstGeom prst="roundRect">
          <a:avLst/>
        </a:prstGeom>
        <a:solidFill>
          <a:schemeClr val="accent5"/>
        </a:solidFill>
        <a:ln>
          <a:noFill/>
        </a:ln>
        <a:effectLst>
          <a:reflection blurRad="6350" stA="52000" endA="300" endPos="35000" dir="5400000" sy="-100000" algn="bl" rotWithShape="0"/>
        </a:effectLst>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fld id="{BE8583A0-D900-4CDB-AB36-36F565FCFFCC}" type="TxLink">
            <a:rPr lang="en-US" sz="1100" b="1" i="0" u="none" strike="noStrike">
              <a:solidFill>
                <a:srgbClr val="002060"/>
              </a:solidFill>
              <a:latin typeface="Bell MT" panose="02020503060305020303" pitchFamily="18" charset="0"/>
              <a:cs typeface="Calibri"/>
            </a:rPr>
            <a:pPr algn="ctr"/>
            <a:t>0</a:t>
          </a:fld>
          <a:endParaRPr lang="en-ID" sz="100" b="1">
            <a:solidFill>
              <a:srgbClr val="002060"/>
            </a:solidFill>
            <a:latin typeface="Bell MT" panose="02020503060305020303" pitchFamily="18" charset="0"/>
          </a:endParaRPr>
        </a:p>
      </xdr:txBody>
    </xdr:sp>
    <xdr:clientData/>
  </xdr:twoCellAnchor>
  <xdr:twoCellAnchor>
    <xdr:from>
      <xdr:col>0</xdr:col>
      <xdr:colOff>66674</xdr:colOff>
      <xdr:row>12</xdr:row>
      <xdr:rowOff>95251</xdr:rowOff>
    </xdr:from>
    <xdr:to>
      <xdr:col>2</xdr:col>
      <xdr:colOff>323849</xdr:colOff>
      <xdr:row>15</xdr:row>
      <xdr:rowOff>76201</xdr:rowOff>
    </xdr:to>
    <xdr:sp macro="" textlink="PivotTableTambahan!Z4">
      <xdr:nvSpPr>
        <xdr:cNvPr id="25" name="Rectangle 24">
          <a:extLst>
            <a:ext uri="{FF2B5EF4-FFF2-40B4-BE49-F238E27FC236}">
              <a16:creationId xmlns:a16="http://schemas.microsoft.com/office/drawing/2014/main" id="{0A628352-79AD-475E-9FF8-8D1EF4E754B5}"/>
            </a:ext>
          </a:extLst>
        </xdr:cNvPr>
        <xdr:cNvSpPr/>
      </xdr:nvSpPr>
      <xdr:spPr>
        <a:xfrm>
          <a:off x="66674" y="2381251"/>
          <a:ext cx="1476375" cy="552450"/>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E7887DB8-CC56-42F4-9E9E-1984E59B3B36}" type="TxLink">
            <a:rPr lang="en-US" sz="1600" b="0" i="0" u="none" strike="noStrike">
              <a:solidFill>
                <a:schemeClr val="bg1"/>
              </a:solidFill>
              <a:latin typeface="Bell MT" panose="02020503060305020303" pitchFamily="18" charset="0"/>
              <a:cs typeface="Calibri"/>
            </a:rPr>
            <a:pPr algn="ctr"/>
            <a:t>9</a:t>
          </a:fld>
          <a:endParaRPr lang="en-ID" sz="1050">
            <a:solidFill>
              <a:schemeClr val="bg1"/>
            </a:solidFill>
            <a:latin typeface="Bell MT" panose="02020503060305020303" pitchFamily="18" charset="0"/>
          </a:endParaRPr>
        </a:p>
      </xdr:txBody>
    </xdr:sp>
    <xdr:clientData/>
  </xdr:twoCellAnchor>
  <xdr:oneCellAnchor>
    <xdr:from>
      <xdr:col>0</xdr:col>
      <xdr:colOff>295276</xdr:colOff>
      <xdr:row>12</xdr:row>
      <xdr:rowOff>109206</xdr:rowOff>
    </xdr:from>
    <xdr:ext cx="1190624" cy="328944"/>
    <xdr:sp macro="" textlink="">
      <xdr:nvSpPr>
        <xdr:cNvPr id="26" name="TextBox 25">
          <a:extLst>
            <a:ext uri="{FF2B5EF4-FFF2-40B4-BE49-F238E27FC236}">
              <a16:creationId xmlns:a16="http://schemas.microsoft.com/office/drawing/2014/main" id="{17F0D781-BC40-496E-A8D4-2F67BDB3DCE3}"/>
            </a:ext>
          </a:extLst>
        </xdr:cNvPr>
        <xdr:cNvSpPr txBox="1"/>
      </xdr:nvSpPr>
      <xdr:spPr>
        <a:xfrm>
          <a:off x="295276" y="2395206"/>
          <a:ext cx="1190624" cy="3289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ID" sz="1000" b="0" cap="none" spc="0">
              <a:ln w="0"/>
              <a:solidFill>
                <a:srgbClr val="FFC000"/>
              </a:solidFill>
              <a:effectLst>
                <a:reflection blurRad="6350" stA="53000" endA="300" endPos="35500" dir="5400000" sy="-90000" algn="bl" rotWithShape="0"/>
              </a:effectLst>
              <a:latin typeface="Bodoni Bd BT" panose="02070803080706020303" pitchFamily="18" charset="0"/>
            </a:rPr>
            <a:t>Jumlah </a:t>
          </a:r>
          <a:r>
            <a:rPr lang="en-ID" sz="1050" b="0" cap="none" spc="0">
              <a:ln w="0"/>
              <a:solidFill>
                <a:srgbClr val="FFC000"/>
              </a:solidFill>
              <a:effectLst>
                <a:reflection blurRad="6350" stA="53000" endA="300" endPos="35500" dir="5400000" sy="-90000" algn="bl" rotWithShape="0"/>
              </a:effectLst>
              <a:latin typeface="Bodoni Bd BT" panose="02070803080706020303" pitchFamily="18" charset="0"/>
            </a:rPr>
            <a:t>Layanan</a:t>
          </a:r>
          <a:endParaRPr lang="en-ID" sz="1000" b="0" cap="none" spc="0">
            <a:ln w="0"/>
            <a:solidFill>
              <a:srgbClr val="FFC000"/>
            </a:solidFill>
            <a:effectLst>
              <a:reflection blurRad="6350" stA="53000" endA="300" endPos="35500" dir="5400000" sy="-90000" algn="bl" rotWithShape="0"/>
            </a:effectLst>
            <a:latin typeface="Bodoni Bd BT" panose="02070803080706020303" pitchFamily="18" charset="0"/>
          </a:endParaRPr>
        </a:p>
      </xdr:txBody>
    </xdr:sp>
    <xdr:clientData/>
  </xdr:oneCellAnchor>
  <xdr:twoCellAnchor editAs="oneCell">
    <xdr:from>
      <xdr:col>0</xdr:col>
      <xdr:colOff>133350</xdr:colOff>
      <xdr:row>13</xdr:row>
      <xdr:rowOff>0</xdr:rowOff>
    </xdr:from>
    <xdr:to>
      <xdr:col>0</xdr:col>
      <xdr:colOff>337909</xdr:colOff>
      <xdr:row>14</xdr:row>
      <xdr:rowOff>67422</xdr:rowOff>
    </xdr:to>
    <xdr:pic>
      <xdr:nvPicPr>
        <xdr:cNvPr id="28" name="Picture 27">
          <a:extLst>
            <a:ext uri="{FF2B5EF4-FFF2-40B4-BE49-F238E27FC236}">
              <a16:creationId xmlns:a16="http://schemas.microsoft.com/office/drawing/2014/main" id="{E6CD91E0-B31F-4671-8B23-2578E9E610E7}"/>
            </a:ext>
          </a:extLst>
        </xdr:cNvPr>
        <xdr:cNvPicPr>
          <a:picLocks noChangeAspect="1"/>
        </xdr:cNvPicPr>
      </xdr:nvPicPr>
      <xdr:blipFill>
        <a:blip xmlns:r="http://schemas.openxmlformats.org/officeDocument/2006/relationships" r:embed="rId2">
          <a:duotone>
            <a:schemeClr val="bg2">
              <a:shade val="45000"/>
              <a:satMod val="135000"/>
            </a:schemeClr>
            <a:prstClr val="white"/>
          </a:duotone>
          <a:extLst>
            <a:ext uri="{BEBA8EAE-BF5A-486C-A8C5-ECC9F3942E4B}">
              <a14:imgProps xmlns:a14="http://schemas.microsoft.com/office/drawing/2010/main">
                <a14:imgLayer r:embed="rId3">
                  <a14:imgEffect>
                    <a14:colorTemperature colorTemp="1500"/>
                  </a14:imgEffect>
                  <a14:imgEffect>
                    <a14:saturation sat="400000"/>
                  </a14:imgEffect>
                </a14:imgLayer>
              </a14:imgProps>
            </a:ext>
          </a:extLst>
        </a:blip>
        <a:stretch>
          <a:fillRect/>
        </a:stretch>
      </xdr:blipFill>
      <xdr:spPr>
        <a:xfrm>
          <a:off x="133350" y="2476500"/>
          <a:ext cx="204559" cy="257922"/>
        </a:xfrm>
        <a:prstGeom prst="rect">
          <a:avLst/>
        </a:prstGeom>
        <a:ln>
          <a:noFill/>
        </a:ln>
        <a:effectLst>
          <a:outerShdw blurRad="50800" dist="50800" dir="5400000" algn="ctr" rotWithShape="0">
            <a:srgbClr val="191D43"/>
          </a:outerShdw>
          <a:reflection endPos="65000" dist="50800" dir="5400000" sy="-100000" algn="bl" rotWithShape="0"/>
        </a:effectLst>
      </xdr:spPr>
    </xdr:pic>
    <xdr:clientData/>
  </xdr:twoCellAnchor>
  <xdr:twoCellAnchor>
    <xdr:from>
      <xdr:col>0</xdr:col>
      <xdr:colOff>66674</xdr:colOff>
      <xdr:row>15</xdr:row>
      <xdr:rowOff>123825</xdr:rowOff>
    </xdr:from>
    <xdr:to>
      <xdr:col>2</xdr:col>
      <xdr:colOff>323849</xdr:colOff>
      <xdr:row>22</xdr:row>
      <xdr:rowOff>9524</xdr:rowOff>
    </xdr:to>
    <xdr:sp macro="" textlink="">
      <xdr:nvSpPr>
        <xdr:cNvPr id="29" name="Rectangle 28">
          <a:extLst>
            <a:ext uri="{FF2B5EF4-FFF2-40B4-BE49-F238E27FC236}">
              <a16:creationId xmlns:a16="http://schemas.microsoft.com/office/drawing/2014/main" id="{A5AA5228-458E-4E18-BFEC-7877E44FA59A}"/>
            </a:ext>
          </a:extLst>
        </xdr:cNvPr>
        <xdr:cNvSpPr/>
      </xdr:nvSpPr>
      <xdr:spPr>
        <a:xfrm>
          <a:off x="66674" y="2981325"/>
          <a:ext cx="1476375" cy="1219199"/>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1100" b="0" i="0" u="none" strike="noStrike">
            <a:solidFill>
              <a:schemeClr val="bg1"/>
            </a:solidFill>
            <a:latin typeface="Bell MT" panose="02020503060305020303" pitchFamily="18" charset="0"/>
            <a:cs typeface="Calibri"/>
          </a:endParaRPr>
        </a:p>
      </xdr:txBody>
    </xdr:sp>
    <xdr:clientData/>
  </xdr:twoCellAnchor>
  <xdr:twoCellAnchor>
    <xdr:from>
      <xdr:col>0</xdr:col>
      <xdr:colOff>104775</xdr:colOff>
      <xdr:row>15</xdr:row>
      <xdr:rowOff>133350</xdr:rowOff>
    </xdr:from>
    <xdr:to>
      <xdr:col>2</xdr:col>
      <xdr:colOff>276225</xdr:colOff>
      <xdr:row>21</xdr:row>
      <xdr:rowOff>171450</xdr:rowOff>
    </xdr:to>
    <xdr:graphicFrame macro="">
      <xdr:nvGraphicFramePr>
        <xdr:cNvPr id="30" name="Chart 29">
          <a:extLst>
            <a:ext uri="{FF2B5EF4-FFF2-40B4-BE49-F238E27FC236}">
              <a16:creationId xmlns:a16="http://schemas.microsoft.com/office/drawing/2014/main" id="{81737CC1-794E-40D3-AF84-CE9678A272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200025</xdr:colOff>
      <xdr:row>0</xdr:row>
      <xdr:rowOff>47625</xdr:rowOff>
    </xdr:from>
    <xdr:to>
      <xdr:col>20</xdr:col>
      <xdr:colOff>276225</xdr:colOff>
      <xdr:row>22</xdr:row>
      <xdr:rowOff>19051</xdr:rowOff>
    </xdr:to>
    <xdr:sp macro="" textlink="">
      <xdr:nvSpPr>
        <xdr:cNvPr id="31" name="Rectangle 30">
          <a:extLst>
            <a:ext uri="{FF2B5EF4-FFF2-40B4-BE49-F238E27FC236}">
              <a16:creationId xmlns:a16="http://schemas.microsoft.com/office/drawing/2014/main" id="{B985522B-BFC4-424E-8970-16BBAA34F253}"/>
            </a:ext>
          </a:extLst>
        </xdr:cNvPr>
        <xdr:cNvSpPr/>
      </xdr:nvSpPr>
      <xdr:spPr>
        <a:xfrm>
          <a:off x="6296025" y="47625"/>
          <a:ext cx="6172200" cy="4162426"/>
        </a:xfrm>
        <a:prstGeom prst="rect">
          <a:avLst/>
        </a:prstGeom>
        <a:solidFill>
          <a:srgbClr val="191D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10</xdr:col>
      <xdr:colOff>333375</xdr:colOff>
      <xdr:row>0</xdr:row>
      <xdr:rowOff>76200</xdr:rowOff>
    </xdr:from>
    <xdr:to>
      <xdr:col>19</xdr:col>
      <xdr:colOff>584489</xdr:colOff>
      <xdr:row>21</xdr:row>
      <xdr:rowOff>158462</xdr:rowOff>
    </xdr:to>
    <xdr:graphicFrame macro="">
      <xdr:nvGraphicFramePr>
        <xdr:cNvPr id="32" name="Chart 31">
          <a:extLst>
            <a:ext uri="{FF2B5EF4-FFF2-40B4-BE49-F238E27FC236}">
              <a16:creationId xmlns:a16="http://schemas.microsoft.com/office/drawing/2014/main" id="{EB1ED513-3F3E-4F2C-B318-D4F14A1144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10</xdr:col>
      <xdr:colOff>419099</xdr:colOff>
      <xdr:row>0</xdr:row>
      <xdr:rowOff>66676</xdr:rowOff>
    </xdr:from>
    <xdr:ext cx="4105275" cy="259174"/>
    <xdr:sp macro="" textlink="">
      <xdr:nvSpPr>
        <xdr:cNvPr id="33" name="TextBox 32">
          <a:extLst>
            <a:ext uri="{FF2B5EF4-FFF2-40B4-BE49-F238E27FC236}">
              <a16:creationId xmlns:a16="http://schemas.microsoft.com/office/drawing/2014/main" id="{84AA549D-DFC3-4C9F-A5A3-BB52DCCA1EE9}"/>
            </a:ext>
          </a:extLst>
        </xdr:cNvPr>
        <xdr:cNvSpPr txBox="1"/>
      </xdr:nvSpPr>
      <xdr:spPr>
        <a:xfrm>
          <a:off x="6515099" y="66676"/>
          <a:ext cx="4105275" cy="259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ID" sz="1100" b="0" cap="none" spc="0">
              <a:ln w="0"/>
              <a:solidFill>
                <a:srgbClr val="FF743D"/>
              </a:solidFill>
              <a:effectLst>
                <a:reflection blurRad="6350" stA="53000" endA="300" endPos="35500" dir="5400000" sy="-90000" algn="bl" rotWithShape="0"/>
              </a:effectLst>
              <a:latin typeface="Bodoni Bd BT" panose="02070803080706020303" pitchFamily="18" charset="0"/>
            </a:rPr>
            <a:t>GRAFIK</a:t>
          </a:r>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9.262705787034" createdVersion="8" refreshedVersion="8" minRefreshableVersion="3" recordCount="4" xr:uid="{EBAD3B43-3F7D-454E-99BA-FB867A96F186}">
  <cacheSource type="worksheet">
    <worksheetSource ref="B1:DS5" sheet="Data"/>
  </cacheSource>
  <cacheFields count="122">
    <cacheField name="Tahun" numFmtId="0">
      <sharedItems containsSemiMixedTypes="0" containsString="0" containsNumber="1" containsInteger="1" minValue="2018" maxValue="2021" count="4">
        <n v="2018"/>
        <n v="2019"/>
        <n v="2020"/>
        <n v="2021"/>
      </sharedItems>
    </cacheField>
    <cacheField name="Luas Wilayah" numFmtId="4">
      <sharedItems containsSemiMixedTypes="0" containsString="0" containsNumber="1" minValue="15022.77" maxValue="15022.77"/>
    </cacheField>
    <cacheField name="Prestasi Bidang Olahraga" numFmtId="0">
      <sharedItems containsSemiMixedTypes="0" containsString="0" containsNumber="1" containsInteger="1" minValue="0" maxValue="16"/>
    </cacheField>
    <cacheField name="Prestasi Bidang Pendidikan" numFmtId="0">
      <sharedItems containsSemiMixedTypes="0" containsString="0" containsNumber="1" containsInteger="1" minValue="0" maxValue="6"/>
    </cacheField>
    <cacheField name="Prestasi Bidang Kesenian" numFmtId="0">
      <sharedItems containsSemiMixedTypes="0" containsString="0" containsNumber="1" containsInteger="1" minValue="0" maxValue="4"/>
    </cacheField>
    <cacheField name="Prestasi Bidang Kebersihan" numFmtId="0">
      <sharedItems containsSemiMixedTypes="0" containsString="0" containsNumber="1" containsInteger="1" minValue="0" maxValue="0"/>
    </cacheField>
    <cacheField name="Obyek Wisata Alam" numFmtId="0">
      <sharedItems containsSemiMixedTypes="0" containsString="0" containsNumber="1" containsInteger="1" minValue="8" maxValue="11"/>
    </cacheField>
    <cacheField name="Obyek Wisata Buatan" numFmtId="0">
      <sharedItems containsSemiMixedTypes="0" containsString="0" containsNumber="1" containsInteger="1" minValue="2" maxValue="4"/>
    </cacheField>
    <cacheField name="Obyek Wisata Edukasi" numFmtId="0">
      <sharedItems containsSemiMixedTypes="0" containsString="0" containsNumber="1" containsInteger="1" minValue="0" maxValue="0"/>
    </cacheField>
    <cacheField name="Obyek Wisata Budaya" numFmtId="0">
      <sharedItems containsSemiMixedTypes="0" containsString="0" containsNumber="1" containsInteger="1" minValue="1" maxValue="1"/>
    </cacheField>
    <cacheField name="Obyek Wisata Sejarah" numFmtId="0">
      <sharedItems containsSemiMixedTypes="0" containsString="0" containsNumber="1" containsInteger="1" minValue="0" maxValue="2"/>
    </cacheField>
    <cacheField name="Jumlah Penduduk Agama Islam" numFmtId="3">
      <sharedItems containsSemiMixedTypes="0" containsString="0" containsNumber="1" containsInteger="1" minValue="56783" maxValue="57255"/>
    </cacheField>
    <cacheField name="Tempat Peribadatan Agama Islam" numFmtId="0">
      <sharedItems containsSemiMixedTypes="0" containsString="0" containsNumber="1" containsInteger="1" minValue="311" maxValue="368"/>
    </cacheField>
    <cacheField name="Jumlah Penduduk Agama Kristen Protestan" numFmtId="3">
      <sharedItems containsSemiMixedTypes="0" containsString="0" containsNumber="1" containsInteger="1" minValue="1629" maxValue="1849"/>
    </cacheField>
    <cacheField name="Tempat Peribadatan Agama Kristen Protestan" numFmtId="0">
      <sharedItems containsSemiMixedTypes="0" containsString="0" containsNumber="1" containsInteger="1" minValue="8" maxValue="10"/>
    </cacheField>
    <cacheField name="Jumlah Penduduk Agama Kristen Katolik" numFmtId="3">
      <sharedItems containsSemiMixedTypes="0" containsString="0" containsNumber="1" containsInteger="1" minValue="13" maxValue="33"/>
    </cacheField>
    <cacheField name="Tempat Peribadatan Agama Kristen Katolik" numFmtId="0">
      <sharedItems containsSemiMixedTypes="0" containsString="0" containsNumber="1" containsInteger="1" minValue="0" maxValue="1"/>
    </cacheField>
    <cacheField name="Jumlah Penduduk Agama Hindu" numFmtId="3">
      <sharedItems containsSemiMixedTypes="0" containsString="0" containsNumber="1" containsInteger="1" minValue="484" maxValue="701"/>
    </cacheField>
    <cacheField name="Tempat Peribadatan Agama Hindu" numFmtId="0">
      <sharedItems containsSemiMixedTypes="0" containsString="0" containsNumber="1" containsInteger="1" minValue="4" maxValue="4"/>
    </cacheField>
    <cacheField name="Jumlah Penduduk Agama Buddha" numFmtId="3">
      <sharedItems containsSemiMixedTypes="0" containsString="0" containsNumber="1" containsInteger="1" minValue="0" maxValue="21"/>
    </cacheField>
    <cacheField name="Tempat Peribadatan Agama Buddha" numFmtId="0">
      <sharedItems containsSemiMixedTypes="0" containsString="0" containsNumber="1" containsInteger="1" minValue="0" maxValue="0"/>
    </cacheField>
    <cacheField name="Jumlah Penduduk Agama Konghucu" numFmtId="0">
      <sharedItems containsSemiMixedTypes="0" containsString="0" containsNumber="1" containsInteger="1" minValue="0" maxValue="0"/>
    </cacheField>
    <cacheField name="Tempat Peribadatan Agama Konghucu" numFmtId="0">
      <sharedItems containsSemiMixedTypes="0" containsString="0" containsNumber="1" containsInteger="1" minValue="0" maxValue="0"/>
    </cacheField>
    <cacheField name="Jumlah Penduduk Menganut Kepercayaan kepada Tuhan YME" numFmtId="3">
      <sharedItems containsSemiMixedTypes="0" containsString="0" containsNumber="1" containsInteger="1" minValue="0" maxValue="15"/>
    </cacheField>
    <cacheField name="Tempat Peribadatan untuk Kepercayaan kepada Tuhan YME" numFmtId="0">
      <sharedItems containsSemiMixedTypes="0" containsString="0" containsNumber="1" containsInteger="1" minValue="0" maxValue="1"/>
    </cacheField>
    <cacheField name="Lapangan Sepak bola" numFmtId="0">
      <sharedItems containsSemiMixedTypes="0" containsString="0" containsNumber="1" containsInteger="1" minValue="12" maxValue="15"/>
    </cacheField>
    <cacheField name="Lapangan Futsal" numFmtId="0">
      <sharedItems containsSemiMixedTypes="0" containsString="0" containsNumber="1" containsInteger="1" minValue="0" maxValue="1"/>
    </cacheField>
    <cacheField name="Lapangan Voli" numFmtId="0">
      <sharedItems containsSemiMixedTypes="0" containsString="0" containsNumber="1" containsInteger="1" minValue="29" maxValue="48"/>
    </cacheField>
    <cacheField name="Lapangan Basket" numFmtId="0">
      <sharedItems containsSemiMixedTypes="0" containsString="0" containsNumber="1" containsInteger="1" minValue="2" maxValue="2"/>
    </cacheField>
    <cacheField name="Lapangan Bulutangkis" numFmtId="0">
      <sharedItems containsSemiMixedTypes="0" containsString="0" containsNumber="1" containsInteger="1" minValue="6" maxValue="6"/>
    </cacheField>
    <cacheField name="Lapangan Tenis Lapangan" numFmtId="0">
      <sharedItems containsSemiMixedTypes="0" containsString="0" containsNumber="1" containsInteger="1" minValue="0" maxValue="0"/>
    </cacheField>
    <cacheField name="Lapangan Lain-lain" numFmtId="0">
      <sharedItems containsSemiMixedTypes="0" containsString="0" containsNumber="1" containsInteger="1" minValue="0" maxValue="4"/>
    </cacheField>
    <cacheField name="Desa" numFmtId="0">
      <sharedItems containsSemiMixedTypes="0" containsString="0" containsNumber="1" containsInteger="1" minValue="13" maxValue="13"/>
    </cacheField>
    <cacheField name="Dusun" numFmtId="0">
      <sharedItems containsSemiMixedTypes="0" containsString="0" containsNumber="1" containsInteger="1" minValue="39" maxValue="39"/>
    </cacheField>
    <cacheField name="RW" numFmtId="0">
      <sharedItems containsSemiMixedTypes="0" containsString="0" containsNumber="1" containsInteger="1" minValue="93" maxValue="93"/>
    </cacheField>
    <cacheField name="RT" numFmtId="0">
      <sharedItems containsSemiMixedTypes="0" containsString="0" containsNumber="1" containsInteger="1" minValue="317" maxValue="317"/>
    </cacheField>
    <cacheField name="Prestasi Bidang Pendidikan Jenjang TK" numFmtId="0">
      <sharedItems containsSemiMixedTypes="0" containsString="0" containsNumber="1" containsInteger="1" minValue="0" maxValue="0"/>
    </cacheField>
    <cacheField name="Prestasi Bidang Pendidikan Jenjang SD/MI" numFmtId="0">
      <sharedItems containsSemiMixedTypes="0" containsString="0" containsNumber="1" containsInteger="1" minValue="0" maxValue="6"/>
    </cacheField>
    <cacheField name="Prestasi Bidang Pendidikan Jenjang SMP/MTs" numFmtId="0">
      <sharedItems containsSemiMixedTypes="0" containsString="0" containsNumber="1" containsInteger="1" minValue="0" maxValue="1"/>
    </cacheField>
    <cacheField name="Prestasi Bidang Pendidikan Jenjang SMA/SMK/MA" numFmtId="0">
      <sharedItems containsSemiMixedTypes="0" containsString="0" containsNumber="1" containsInteger="1" minValue="0" maxValue="1"/>
    </cacheField>
    <cacheField name="Prestasi Bidang Pendidikan Jenjang Perguruan Tinggi" numFmtId="0">
      <sharedItems containsSemiMixedTypes="0" containsString="0" containsNumber="1" containsInteger="1" minValue="0" maxValue="0"/>
    </cacheField>
    <cacheField name="Lebakharjo" numFmtId="0">
      <sharedItems containsSemiMixedTypes="0" containsString="0" containsNumber="1" containsInteger="1" minValue="3" maxValue="7"/>
    </cacheField>
    <cacheField name="Wirotaman" numFmtId="0">
      <sharedItems containsSemiMixedTypes="0" containsString="0" containsNumber="1" containsInteger="1" minValue="5" maxValue="10"/>
    </cacheField>
    <cacheField name="Tamanasri" numFmtId="0">
      <sharedItems containsSemiMixedTypes="0" containsString="0" containsNumber="1" containsInteger="1" minValue="7" maxValue="7"/>
    </cacheField>
    <cacheField name="Tirtomarto" numFmtId="0">
      <sharedItems containsSemiMixedTypes="0" containsString="0" containsNumber="1" containsInteger="1" minValue="0" maxValue="11"/>
    </cacheField>
    <cacheField name="Purwoharjo" numFmtId="0">
      <sharedItems containsSemiMixedTypes="0" containsString="0" containsNumber="1" containsInteger="1" minValue="4" maxValue="12"/>
    </cacheField>
    <cacheField name="Sidorenggo" numFmtId="0">
      <sharedItems containsSemiMixedTypes="0" containsString="0" containsNumber="1" containsInteger="1" minValue="0" maxValue="3"/>
    </cacheField>
    <cacheField name="Tirtomoyo" numFmtId="0">
      <sharedItems containsSemiMixedTypes="0" containsString="0" containsNumber="1" containsInteger="1" minValue="4" maxValue="6"/>
    </cacheField>
    <cacheField name="Argoyuwono" numFmtId="0">
      <sharedItems containsSemiMixedTypes="0" containsString="0" containsNumber="1" containsInteger="1" minValue="8" maxValue="9"/>
    </cacheField>
    <cacheField name="Mulyoasri" numFmtId="0">
      <sharedItems containsSemiMixedTypes="0" containsString="0" containsNumber="1" containsInteger="1" minValue="7" maxValue="9"/>
    </cacheField>
    <cacheField name="Tawangagung" numFmtId="0">
      <sharedItems containsSemiMixedTypes="0" containsString="0" containsNumber="1" containsInteger="1" minValue="2" maxValue="2"/>
    </cacheField>
    <cacheField name="Simojayan" numFmtId="0">
      <sharedItems containsSemiMixedTypes="0" containsString="0" containsNumber="1" containsInteger="1" minValue="9" maxValue="15"/>
    </cacheField>
    <cacheField name="Tamansari" numFmtId="0">
      <sharedItems containsSemiMixedTypes="0" containsString="0" containsNumber="1" containsInteger="1" minValue="14" maxValue="21"/>
    </cacheField>
    <cacheField name="Sonowangi" numFmtId="0">
      <sharedItems containsSemiMixedTypes="0" containsString="0" containsNumber="1" containsInteger="1" minValue="4" maxValue="9"/>
    </cacheField>
    <cacheField name="Jumlah" numFmtId="2">
      <sharedItems containsSemiMixedTypes="0" containsString="0" containsNumber="1" containsInteger="1" minValue="82" maxValue="106"/>
    </cacheField>
    <cacheField name="Lebakharjo2" numFmtId="2">
      <sharedItems containsSemiMixedTypes="0" containsString="0" containsNumber="1" minValue="802.16399999999999" maxValue="802.16399999999999"/>
    </cacheField>
    <cacheField name="Wirotaman3" numFmtId="2">
      <sharedItems containsSemiMixedTypes="0" containsString="0" containsNumber="1" minValue="706.75" maxValue="706.75"/>
    </cacheField>
    <cacheField name="Tamanasri4" numFmtId="0">
      <sharedItems containsSemiMixedTypes="0" containsString="0" containsNumber="1" minValue="280.7" maxValue="280.7"/>
    </cacheField>
    <cacheField name="Tirtomarto5" numFmtId="1">
      <sharedItems containsSemiMixedTypes="0" containsString="0" containsNumber="1" containsInteger="1" minValue="354" maxValue="354"/>
    </cacheField>
    <cacheField name="Purwoharjo6" numFmtId="2">
      <sharedItems containsSemiMixedTypes="0" containsString="0" containsNumber="1" minValue="140.66" maxValue="142.82400000000001"/>
    </cacheField>
    <cacheField name="Sidorenggo7" numFmtId="0">
      <sharedItems containsSemiMixedTypes="0" containsString="0" containsNumber="1" containsInteger="1" minValue="676" maxValue="676"/>
    </cacheField>
    <cacheField name="Tirtomoyo8" numFmtId="2">
      <sharedItems containsSemiMixedTypes="0" containsString="0" containsNumber="1" minValue="11440.4" maxValue="11440.4"/>
    </cacheField>
    <cacheField name="Argoyuwono9" numFmtId="2">
      <sharedItems containsSemiMixedTypes="0" containsString="0" containsNumber="1" minValue="554.91000000000008" maxValue="554.91000000000008"/>
    </cacheField>
    <cacheField name="Mulyoasri10" numFmtId="1">
      <sharedItems containsSemiMixedTypes="0" containsString="0" containsNumber="1" containsInteger="1" minValue="1020" maxValue="1020"/>
    </cacheField>
    <cacheField name="Tawangagung11" numFmtId="2">
      <sharedItems containsSemiMixedTypes="0" containsString="0" containsNumber="1" minValue="359.33" maxValue="359.33"/>
    </cacheField>
    <cacheField name="Simojayan12" numFmtId="0">
      <sharedItems containsSemiMixedTypes="0" containsString="0" containsNumber="1" containsInteger="1" minValue="737" maxValue="737"/>
    </cacheField>
    <cacheField name="Tamansari13" numFmtId="2">
      <sharedItems containsSemiMixedTypes="0" containsString="0" containsNumber="1" minValue="632.24" maxValue="632.24"/>
    </cacheField>
    <cacheField name="Sonowangi14" numFmtId="2">
      <sharedItems containsMixedTypes="1" containsNumber="1" minValue="500.4" maxValue="500.4" count="2">
        <s v="50.4"/>
        <n v="500.4"/>
      </sharedItems>
    </cacheField>
    <cacheField name="Jumlah15" numFmtId="2">
      <sharedItems containsSemiMixedTypes="0" containsString="0" containsNumber="1" minValue="17706.318000000003" maxValue="18204.554"/>
    </cacheField>
    <cacheField name="Lebakharjo22" numFmtId="1">
      <sharedItems containsSemiMixedTypes="0" containsString="0" containsNumber="1" containsInteger="1" minValue="0" maxValue="0"/>
    </cacheField>
    <cacheField name="Wirotaman33" numFmtId="0">
      <sharedItems containsSemiMixedTypes="0" containsString="0" containsNumber="1" minValue="24.8" maxValue="24.8"/>
    </cacheField>
    <cacheField name="Tamanasri44" numFmtId="1">
      <sharedItems containsSemiMixedTypes="0" containsString="0" containsNumber="1" containsInteger="1" minValue="0" maxValue="0"/>
    </cacheField>
    <cacheField name="Tirtomarto55" numFmtId="1">
      <sharedItems containsSemiMixedTypes="0" containsString="0" containsNumber="1" containsInteger="1" minValue="22" maxValue="22"/>
    </cacheField>
    <cacheField name="Purwoharjo66" numFmtId="2">
      <sharedItems containsSemiMixedTypes="0" containsString="0" containsNumber="1" minValue="73.575999999999993" maxValue="75.739999999999995"/>
    </cacheField>
    <cacheField name="Sidorenggo77" numFmtId="1">
      <sharedItems containsSemiMixedTypes="0" containsString="0" containsNumber="1" containsInteger="1" minValue="403" maxValue="403"/>
    </cacheField>
    <cacheField name="Tirtomoyo88" numFmtId="1">
      <sharedItems containsSemiMixedTypes="0" containsString="0" containsNumber="1" containsInteger="1" minValue="0" maxValue="0"/>
    </cacheField>
    <cacheField name="Argoyuwono99" numFmtId="0">
      <sharedItems containsSemiMixedTypes="0" containsString="0" containsNumber="1" minValue="53.099999999999994" maxValue="53.099999999999994"/>
    </cacheField>
    <cacheField name="Mulyoasri1010" numFmtId="1">
      <sharedItems containsSemiMixedTypes="0" containsString="0" containsNumber="1" containsInteger="1" minValue="0" maxValue="0"/>
    </cacheField>
    <cacheField name="Tawangagung1111" numFmtId="2">
      <sharedItems containsSemiMixedTypes="0" containsString="0" containsNumber="1" minValue="52.67" maxValue="52.67"/>
    </cacheField>
    <cacheField name="Simojayan1212" numFmtId="1">
      <sharedItems containsSemiMixedTypes="0" containsString="0" containsNumber="1" containsInteger="1" minValue="0" maxValue="0"/>
    </cacheField>
    <cacheField name="Tamansari1313" numFmtId="0">
      <sharedItems containsSemiMixedTypes="0" containsString="0" containsNumber="1" minValue="420.1" maxValue="420.1"/>
    </cacheField>
    <cacheField name="Sonowangi1414" numFmtId="0">
      <sharedItems containsSemiMixedTypes="0" containsString="0" containsNumber="1" minValue="172.6" maxValue="193.6"/>
    </cacheField>
    <cacheField name="Jumlah1515" numFmtId="2">
      <sharedItems containsSemiMixedTypes="0" containsString="0" containsNumber="1" minValue="1221.846" maxValue="1245.0099999999998"/>
    </cacheField>
    <cacheField name="Lebakharjo222" numFmtId="0">
      <sharedItems containsSemiMixedTypes="0" containsString="0" containsNumber="1" containsInteger="1" minValue="3" maxValue="7"/>
    </cacheField>
    <cacheField name="Wirotaman333" numFmtId="0">
      <sharedItems containsSemiMixedTypes="0" containsString="0" containsNumber="1" containsInteger="1" minValue="5" maxValue="10"/>
    </cacheField>
    <cacheField name="Tamanasri444" numFmtId="0">
      <sharedItems containsSemiMixedTypes="0" containsString="0" containsNumber="1" containsInteger="1" minValue="3" maxValue="7"/>
    </cacheField>
    <cacheField name="Tirtomarto555" numFmtId="0">
      <sharedItems containsSemiMixedTypes="0" containsString="0" containsNumber="1" containsInteger="1" minValue="4" maxValue="8"/>
    </cacheField>
    <cacheField name="Purwoharjo666" numFmtId="0">
      <sharedItems containsSemiMixedTypes="0" containsString="0" containsNumber="1" containsInteger="1" minValue="4" maxValue="7"/>
    </cacheField>
    <cacheField name="Sidorenggo777" numFmtId="0">
      <sharedItems containsSemiMixedTypes="0" containsString="0" containsNumber="1" containsInteger="1" minValue="3" maxValue="11"/>
    </cacheField>
    <cacheField name="Tirtomoyo888" numFmtId="0">
      <sharedItems containsSemiMixedTypes="0" containsString="0" containsNumber="1" containsInteger="1" minValue="5" maxValue="9"/>
    </cacheField>
    <cacheField name="Argoyuwono999" numFmtId="0">
      <sharedItems containsSemiMixedTypes="0" containsString="0" containsNumber="1" containsInteger="1" minValue="3" maxValue="8"/>
    </cacheField>
    <cacheField name="Mulyoasri101010" numFmtId="0">
      <sharedItems containsSemiMixedTypes="0" containsString="0" containsNumber="1" containsInteger="1" minValue="4" maxValue="8"/>
    </cacheField>
    <cacheField name="Tawangagung111111" numFmtId="0">
      <sharedItems containsSemiMixedTypes="0" containsString="0" containsNumber="1" containsInteger="1" minValue="4" maxValue="9"/>
    </cacheField>
    <cacheField name="Simojayan121212" numFmtId="0">
      <sharedItems containsSemiMixedTypes="0" containsString="0" containsNumber="1" containsInteger="1" minValue="3" maxValue="6"/>
    </cacheField>
    <cacheField name="Tamansari131313" numFmtId="0">
      <sharedItems containsSemiMixedTypes="0" containsString="0" containsNumber="1" containsInteger="1" minValue="4" maxValue="10"/>
    </cacheField>
    <cacheField name="Sonowangi141414" numFmtId="0">
      <sharedItems containsSemiMixedTypes="0" containsString="0" containsNumber="1" containsInteger="1" minValue="4" maxValue="7"/>
    </cacheField>
    <cacheField name="Jumlah151515" numFmtId="0">
      <sharedItems containsSemiMixedTypes="0" containsString="0" containsNumber="1" containsInteger="1" minValue="49" maxValue="96"/>
    </cacheField>
    <cacheField name="Lebakharjo2222" numFmtId="0">
      <sharedItems containsString="0" containsBlank="1" containsNumber="1" containsInteger="1" minValue="43" maxValue="54"/>
    </cacheField>
    <cacheField name="Wirotaman3333" numFmtId="0">
      <sharedItems containsString="0" containsBlank="1" containsNumber="1" containsInteger="1" minValue="26" maxValue="38"/>
    </cacheField>
    <cacheField name="Tamanasri4444" numFmtId="0">
      <sharedItems containsString="0" containsBlank="1" containsNumber="1" containsInteger="1" minValue="32" maxValue="44"/>
    </cacheField>
    <cacheField name="Tirtomarto5555" numFmtId="0">
      <sharedItems containsString="0" containsBlank="1" containsNumber="1" containsInteger="1" minValue="45" maxValue="64"/>
    </cacheField>
    <cacheField name="Purwoharjo6666" numFmtId="0">
      <sharedItems containsString="0" containsBlank="1" containsNumber="1" containsInteger="1" minValue="10" maxValue="34"/>
    </cacheField>
    <cacheField name="Sidorenggo7777" numFmtId="0">
      <sharedItems containsString="0" containsBlank="1" containsNumber="1" containsInteger="1" minValue="56" maxValue="65"/>
    </cacheField>
    <cacheField name="Tirtomoyo8888" numFmtId="0">
      <sharedItems containsString="0" containsBlank="1" containsNumber="1" containsInteger="1" minValue="23" maxValue="44"/>
    </cacheField>
    <cacheField name="Argoyuwono9999" numFmtId="0">
      <sharedItems containsString="0" containsBlank="1" containsNumber="1" containsInteger="1" minValue="25" maxValue="31"/>
    </cacheField>
    <cacheField name="Mulyoasri10101010" numFmtId="0">
      <sharedItems containsString="0" containsBlank="1" containsNumber="1" containsInteger="1" minValue="46" maxValue="51"/>
    </cacheField>
    <cacheField name="Tawangagung11111111" numFmtId="0">
      <sharedItems containsString="0" containsBlank="1" containsNumber="1" containsInteger="1" minValue="31" maxValue="34"/>
    </cacheField>
    <cacheField name="Simojayan12121212" numFmtId="0">
      <sharedItems containsString="0" containsBlank="1" containsNumber="1" containsInteger="1" minValue="23" maxValue="24"/>
    </cacheField>
    <cacheField name="Tamansari13131313" numFmtId="0">
      <sharedItems containsString="0" containsBlank="1" containsNumber="1" containsInteger="1" minValue="7" maxValue="14"/>
    </cacheField>
    <cacheField name="Sonowangi14141414" numFmtId="0">
      <sharedItems containsString="0" containsBlank="1" containsNumber="1" containsInteger="1" minValue="34" maxValue="52"/>
    </cacheField>
    <cacheField name="Jumlah15151515" numFmtId="0">
      <sharedItems containsString="0" containsBlank="1" containsNumber="1" containsInteger="1" minValue="464" maxValue="486"/>
    </cacheField>
    <cacheField name="Jumlah Lahan" numFmtId="2">
      <sharedItems containsSemiMixedTypes="0" containsString="0" containsNumber="1" minValue="18928.164000000004" maxValue="19449.563999999998"/>
    </cacheField>
    <cacheField name="Lahan Produktif" numFmtId="9">
      <sharedItems containsSemiMixedTypes="0" containsString="0" containsNumber="1" minValue="0.93544825583717461" maxValue="0.93598776815768214"/>
    </cacheField>
    <cacheField name="Lahan Tidak Produktif" numFmtId="9">
      <sharedItems containsSemiMixedTypes="0" containsString="0" containsNumber="1" minValue="6.4012231842317899E-2" maxValue="6.4551744162825289E-2"/>
    </cacheField>
    <cacheField name="Jumlah Lahan Produktif" numFmtId="2">
      <sharedItems containsSemiMixedTypes="0" containsString="0" containsNumber="1" minValue="17706.318000000003" maxValue="18204.554"/>
    </cacheField>
    <cacheField name="Jumlah Lahan tidak Produktif" numFmtId="2">
      <sharedItems containsSemiMixedTypes="0" containsString="0" containsNumber="1" minValue="1221.846" maxValue="1245.0099999999998"/>
    </cacheField>
    <cacheField name="Usia 0-11" numFmtId="0">
      <sharedItems containsString="0" containsBlank="1" containsNumber="1" containsInteger="1" minValue="42" maxValue="43"/>
    </cacheField>
    <cacheField name="Usia 12-25" numFmtId="0">
      <sharedItems containsString="0" containsBlank="1" containsNumber="1" containsInteger="1" minValue="37" maxValue="44"/>
    </cacheField>
    <cacheField name="Usia 26-45" numFmtId="0">
      <sharedItems containsString="0" containsBlank="1" containsNumber="1" containsInteger="1" minValue="32" maxValue="58"/>
    </cacheField>
    <cacheField name="Usia 46-65" numFmtId="0">
      <sharedItems containsString="0" containsBlank="1" containsNumber="1" containsInteger="1" minValue="109" maxValue="111"/>
    </cacheField>
    <cacheField name="Diatas 65" numFmtId="0">
      <sharedItems containsString="0" containsBlank="1" containsNumber="1" containsInteger="1" minValue="231" maxValue="243"/>
    </cacheField>
    <cacheField name="Total" numFmtId="0">
      <sharedItems containsString="0" containsBlank="1" containsNumber="1" containsInteger="1" minValue="464" maxValue="486"/>
    </cacheField>
  </cacheFields>
  <extLst>
    <ext xmlns:x14="http://schemas.microsoft.com/office/spreadsheetml/2009/9/main" uri="{725AE2AE-9491-48be-B2B4-4EB974FC3084}">
      <x14:pivotCacheDefinition pivotCacheId="50967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69.437189467593" createdVersion="8" refreshedVersion="8" minRefreshableVersion="3" recordCount="6" xr:uid="{E150BC4D-7BF6-42F1-ABC7-5CE7409AE117}">
  <cacheSource type="worksheet">
    <worksheetSource ref="A16:N22" sheet="Data Tambahan"/>
  </cacheSource>
  <cacheFields count="14">
    <cacheField name="Tahun" numFmtId="0">
      <sharedItems containsSemiMixedTypes="0" containsString="0" containsNumber="1" containsInteger="1" minValue="2017" maxValue="2022" count="6">
        <n v="2017"/>
        <n v="2018"/>
        <n v="2019"/>
        <n v="2020"/>
        <n v="2021"/>
        <n v="2022"/>
      </sharedItems>
    </cacheField>
    <cacheField name="Surat Permohonan Kartu Tanda Penduduk ( KTP )" numFmtId="0">
      <sharedItems containsString="0" containsBlank="1" containsNumber="1" containsInteger="1" minValue="0" maxValue="1799"/>
    </cacheField>
    <cacheField name="Surat Permohonan Kartu Keluarga ( KK )" numFmtId="0">
      <sharedItems containsString="0" containsBlank="1" containsNumber="1" containsInteger="1" minValue="0" maxValue="1005"/>
    </cacheField>
    <cacheField name="Terselesaikannya Surat Ijin Mendirikan Bangunan (IMB)" numFmtId="0">
      <sharedItems containsString="0" containsBlank="1" containsNumber="1" containsInteger="1" minValue="0" maxValue="2"/>
    </cacheField>
    <cacheField name="Terselesaikannya Surat Ijin Keramaian" numFmtId="0">
      <sharedItems containsString="0" containsBlank="1" containsNumber="1" containsInteger="1" minValue="0" maxValue="56"/>
    </cacheField>
    <cacheField name="Terselesaikannya Surat Ijin penerbitan izin sekolah swasta" numFmtId="0">
      <sharedItems containsString="0" containsBlank="1" containsNumber="1" containsInteger="1" minValue="0" maxValue="0"/>
    </cacheField>
    <cacheField name="Terselesaikannya Surat rekomendasi Ijin usaha peternakan di bawah 5000 ekor" numFmtId="0">
      <sharedItems containsString="0" containsBlank="1" containsNumber="1" containsInteger="1" minValue="0" maxValue="0"/>
    </cacheField>
    <cacheField name="Terselesaikannya Surat rekomendasi Ijin lokasi terhadap calon lokasi tempat pembuangan akhir sampah" numFmtId="0">
      <sharedItems containsString="0" containsBlank="1" containsNumber="1" containsInteger="1" minValue="0" maxValue="0"/>
    </cacheField>
    <cacheField name="Terselesaikannya Surat rekomendasi Ijin lokasi kegiatan pengembangan pertanian, peternakan dan perikanan" numFmtId="0">
      <sharedItems containsString="0" containsBlank="1" containsNumber="1" containsInteger="1" minValue="0" maxValue="0"/>
    </cacheField>
    <cacheField name="Terselesaikannya Surat rekomendasi Ijin pemanfaatan lahan berdasarkan tata ruang wilayah dan tata guna lahan" numFmtId="0">
      <sharedItems containsString="0" containsBlank="1" containsNumber="1" containsInteger="1" minValue="0" maxValue="0"/>
    </cacheField>
    <cacheField name="Terselesaikannya Surat rekomendasi Ijin usaha mikro dan kecil" numFmtId="0">
      <sharedItems containsString="0" containsBlank="1" containsNumber="1" containsInteger="1" minValue="9" maxValue="18"/>
    </cacheField>
    <cacheField name="Terselesaikannya Surat rekomendasi Ijin pemotongan hewan untuk hari tertentu" numFmtId="0">
      <sharedItems containsString="0" containsBlank="1" containsNumber="1" containsInteger="1" minValue="0" maxValue="0"/>
    </cacheField>
    <cacheField name="Terselesaikannya Surat rekomendasi Ijin perkemahan" numFmtId="0">
      <sharedItems containsString="0" containsBlank="1" containsNumber="1" containsInteger="1" minValue="0" maxValue="0"/>
    </cacheField>
    <cacheField name="Jumlah" numFmtId="0">
      <sharedItems containsSemiMixedTypes="0" containsString="0" containsNumber="1" containsInteger="1" minValue="0" maxValue="2222"/>
    </cacheField>
  </cacheFields>
  <extLst>
    <ext xmlns:x14="http://schemas.microsoft.com/office/spreadsheetml/2009/9/main" uri="{725AE2AE-9491-48be-B2B4-4EB974FC3084}">
      <x14:pivotCacheDefinition pivotCacheId="3135632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5022.77"/>
    <n v="1"/>
    <n v="0"/>
    <n v="1"/>
    <n v="0"/>
    <n v="8"/>
    <n v="2"/>
    <n v="0"/>
    <n v="1"/>
    <n v="0"/>
    <n v="57011"/>
    <n v="368"/>
    <n v="1841"/>
    <n v="10"/>
    <n v="21"/>
    <n v="0"/>
    <n v="701"/>
    <n v="4"/>
    <n v="0"/>
    <n v="0"/>
    <n v="0"/>
    <n v="0"/>
    <n v="0"/>
    <n v="0"/>
    <n v="12"/>
    <n v="0"/>
    <n v="34"/>
    <n v="2"/>
    <n v="6"/>
    <n v="0"/>
    <n v="4"/>
    <n v="13"/>
    <n v="39"/>
    <n v="93"/>
    <n v="317"/>
    <n v="0"/>
    <n v="0"/>
    <n v="0"/>
    <n v="0"/>
    <n v="0"/>
    <n v="3"/>
    <n v="10"/>
    <n v="7"/>
    <n v="11"/>
    <n v="12"/>
    <n v="3"/>
    <n v="4"/>
    <n v="8"/>
    <n v="7"/>
    <n v="2"/>
    <n v="9"/>
    <n v="21"/>
    <n v="9"/>
    <n v="106"/>
    <n v="802.16399999999999"/>
    <n v="706.75"/>
    <n v="280.7"/>
    <n v="354"/>
    <n v="142.82400000000001"/>
    <n v="676"/>
    <n v="11440.4"/>
    <n v="554.91000000000008"/>
    <n v="1020"/>
    <n v="359.33"/>
    <n v="737"/>
    <n v="632.24"/>
    <x v="0"/>
    <n v="17706.318000000003"/>
    <n v="0"/>
    <n v="24.8"/>
    <n v="0"/>
    <n v="22"/>
    <n v="73.575999999999993"/>
    <n v="403"/>
    <n v="0"/>
    <n v="53.099999999999994"/>
    <n v="0"/>
    <n v="52.67"/>
    <n v="0"/>
    <n v="420.1"/>
    <n v="172.6"/>
    <n v="1221.846"/>
    <n v="7"/>
    <n v="8"/>
    <n v="7"/>
    <n v="8"/>
    <n v="7"/>
    <n v="9"/>
    <n v="6"/>
    <n v="6"/>
    <n v="7"/>
    <n v="9"/>
    <n v="5"/>
    <n v="10"/>
    <n v="7"/>
    <n v="96"/>
    <m/>
    <m/>
    <m/>
    <m/>
    <m/>
    <m/>
    <m/>
    <m/>
    <m/>
    <m/>
    <m/>
    <m/>
    <m/>
    <m/>
    <n v="18928.164000000004"/>
    <n v="0.93544825583717461"/>
    <n v="6.4551744162825289E-2"/>
    <n v="17706.318000000003"/>
    <n v="1221.846"/>
    <m/>
    <m/>
    <m/>
    <m/>
    <m/>
    <m/>
  </r>
  <r>
    <x v="1"/>
    <n v="15022.77"/>
    <n v="16"/>
    <n v="6"/>
    <n v="4"/>
    <n v="0"/>
    <n v="10"/>
    <n v="4"/>
    <n v="0"/>
    <n v="1"/>
    <n v="2"/>
    <n v="56783"/>
    <n v="311"/>
    <n v="1672"/>
    <n v="8"/>
    <n v="33"/>
    <n v="1"/>
    <n v="484"/>
    <n v="4"/>
    <n v="0"/>
    <n v="0"/>
    <n v="0"/>
    <n v="0"/>
    <n v="9"/>
    <n v="1"/>
    <n v="15"/>
    <n v="1"/>
    <n v="29"/>
    <n v="2"/>
    <n v="6"/>
    <n v="0"/>
    <n v="0"/>
    <n v="13"/>
    <n v="39"/>
    <n v="93"/>
    <n v="317"/>
    <n v="0"/>
    <n v="6"/>
    <n v="0"/>
    <n v="0"/>
    <n v="0"/>
    <n v="3"/>
    <n v="10"/>
    <n v="7"/>
    <n v="11"/>
    <n v="12"/>
    <n v="3"/>
    <n v="4"/>
    <n v="8"/>
    <n v="7"/>
    <n v="2"/>
    <n v="9"/>
    <n v="21"/>
    <n v="9"/>
    <n v="106"/>
    <n v="802.16399999999999"/>
    <n v="706.75"/>
    <n v="280.7"/>
    <n v="354"/>
    <n v="140.66"/>
    <n v="676"/>
    <n v="11440.4"/>
    <n v="554.91000000000008"/>
    <n v="1020"/>
    <n v="359.33"/>
    <n v="737"/>
    <n v="632.24"/>
    <x v="1"/>
    <n v="18204.554"/>
    <n v="0"/>
    <n v="24.8"/>
    <n v="0"/>
    <n v="22"/>
    <n v="75.739999999999995"/>
    <n v="403"/>
    <n v="0"/>
    <n v="53.099999999999994"/>
    <n v="0"/>
    <n v="52.67"/>
    <n v="0"/>
    <n v="420.1"/>
    <n v="193.6"/>
    <n v="1245.0099999999998"/>
    <n v="6"/>
    <n v="10"/>
    <n v="7"/>
    <n v="7"/>
    <n v="6"/>
    <n v="11"/>
    <n v="8"/>
    <n v="8"/>
    <n v="6"/>
    <n v="6"/>
    <n v="6"/>
    <n v="7"/>
    <n v="7"/>
    <n v="95"/>
    <m/>
    <m/>
    <m/>
    <m/>
    <m/>
    <m/>
    <m/>
    <m/>
    <m/>
    <m/>
    <m/>
    <m/>
    <m/>
    <m/>
    <n v="19449.563999999998"/>
    <n v="0.93598776815768214"/>
    <n v="6.4012231842317899E-2"/>
    <n v="18204.554"/>
    <n v="1245.0099999999998"/>
    <m/>
    <m/>
    <m/>
    <m/>
    <m/>
    <m/>
  </r>
  <r>
    <x v="2"/>
    <n v="15022.77"/>
    <n v="1"/>
    <n v="4"/>
    <n v="0"/>
    <n v="0"/>
    <n v="10"/>
    <n v="4"/>
    <n v="0"/>
    <n v="1"/>
    <n v="2"/>
    <n v="57255"/>
    <n v="311"/>
    <n v="1849"/>
    <n v="8"/>
    <n v="13"/>
    <n v="1"/>
    <n v="509"/>
    <n v="4"/>
    <n v="7"/>
    <n v="0"/>
    <n v="0"/>
    <n v="0"/>
    <n v="9"/>
    <n v="1"/>
    <n v="15"/>
    <n v="1"/>
    <n v="29"/>
    <n v="2"/>
    <n v="6"/>
    <n v="0"/>
    <n v="0"/>
    <n v="13"/>
    <n v="39"/>
    <n v="93"/>
    <n v="317"/>
    <n v="0"/>
    <n v="2"/>
    <n v="1"/>
    <n v="1"/>
    <n v="0"/>
    <n v="7"/>
    <n v="5"/>
    <n v="7"/>
    <n v="0"/>
    <n v="4"/>
    <n v="0"/>
    <n v="6"/>
    <n v="9"/>
    <n v="9"/>
    <n v="2"/>
    <n v="15"/>
    <n v="14"/>
    <n v="4"/>
    <n v="82"/>
    <n v="802.16399999999999"/>
    <n v="706.75"/>
    <n v="280.7"/>
    <n v="354"/>
    <n v="140.66"/>
    <n v="676"/>
    <n v="11440.4"/>
    <n v="554.91000000000008"/>
    <n v="1020"/>
    <n v="359.33"/>
    <n v="737"/>
    <n v="632.24"/>
    <x v="1"/>
    <n v="18204.554"/>
    <n v="0"/>
    <n v="24.8"/>
    <n v="0"/>
    <n v="22"/>
    <n v="75.739999999999995"/>
    <n v="403"/>
    <n v="0"/>
    <n v="53.099999999999994"/>
    <n v="0"/>
    <n v="52.67"/>
    <n v="0"/>
    <n v="420.1"/>
    <n v="193.6"/>
    <n v="1245.0099999999998"/>
    <n v="5"/>
    <n v="7"/>
    <n v="6"/>
    <n v="8"/>
    <n v="7"/>
    <n v="6"/>
    <n v="9"/>
    <n v="7"/>
    <n v="8"/>
    <n v="6"/>
    <n v="6"/>
    <n v="6"/>
    <n v="7"/>
    <n v="88"/>
    <n v="54"/>
    <n v="38"/>
    <n v="44"/>
    <n v="45"/>
    <n v="10"/>
    <n v="56"/>
    <n v="44"/>
    <n v="25"/>
    <n v="46"/>
    <n v="31"/>
    <n v="23"/>
    <n v="14"/>
    <n v="34"/>
    <n v="464"/>
    <n v="19449.563999999998"/>
    <n v="0.93598776815768214"/>
    <n v="6.4012231842317899E-2"/>
    <n v="18204.554"/>
    <n v="1245.0099999999998"/>
    <n v="43"/>
    <n v="37"/>
    <n v="32"/>
    <n v="109"/>
    <n v="243"/>
    <n v="464"/>
  </r>
  <r>
    <x v="3"/>
    <n v="15022.77"/>
    <n v="0"/>
    <n v="0"/>
    <n v="0"/>
    <n v="0"/>
    <n v="11"/>
    <n v="4"/>
    <n v="0"/>
    <n v="1"/>
    <n v="2"/>
    <n v="56955"/>
    <n v="311"/>
    <n v="1629"/>
    <n v="8"/>
    <n v="23"/>
    <n v="1"/>
    <n v="512"/>
    <n v="4"/>
    <n v="21"/>
    <n v="0"/>
    <n v="0"/>
    <n v="0"/>
    <n v="15"/>
    <n v="1"/>
    <n v="15"/>
    <n v="1"/>
    <n v="48"/>
    <n v="2"/>
    <n v="6"/>
    <n v="0"/>
    <n v="0"/>
    <n v="13"/>
    <n v="39"/>
    <n v="93"/>
    <n v="317"/>
    <n v="0"/>
    <n v="0"/>
    <n v="0"/>
    <n v="0"/>
    <n v="0"/>
    <n v="7"/>
    <n v="5"/>
    <n v="7"/>
    <n v="0"/>
    <n v="4"/>
    <n v="0"/>
    <n v="6"/>
    <n v="9"/>
    <n v="9"/>
    <n v="2"/>
    <n v="15"/>
    <n v="14"/>
    <n v="4"/>
    <n v="82"/>
    <n v="802.16399999999999"/>
    <n v="706.75"/>
    <n v="280.7"/>
    <n v="354"/>
    <n v="140.66"/>
    <n v="676"/>
    <n v="11440.4"/>
    <n v="554.91000000000008"/>
    <n v="1020"/>
    <n v="359.33"/>
    <n v="737"/>
    <n v="632.24"/>
    <x v="1"/>
    <n v="18204.554"/>
    <n v="0"/>
    <n v="24.8"/>
    <n v="0"/>
    <n v="22"/>
    <n v="75.739999999999995"/>
    <n v="403"/>
    <n v="0"/>
    <n v="53.099999999999994"/>
    <n v="0"/>
    <n v="52.67"/>
    <n v="0"/>
    <n v="420.1"/>
    <n v="193.6"/>
    <n v="1245.0099999999998"/>
    <n v="3"/>
    <n v="5"/>
    <n v="3"/>
    <n v="4"/>
    <n v="4"/>
    <n v="3"/>
    <n v="5"/>
    <n v="3"/>
    <n v="4"/>
    <n v="4"/>
    <n v="3"/>
    <n v="4"/>
    <n v="4"/>
    <n v="49"/>
    <n v="43"/>
    <n v="26"/>
    <n v="32"/>
    <n v="64"/>
    <n v="34"/>
    <n v="65"/>
    <n v="23"/>
    <n v="31"/>
    <n v="51"/>
    <n v="34"/>
    <n v="24"/>
    <n v="7"/>
    <n v="52"/>
    <n v="486"/>
    <n v="19449.563999999998"/>
    <n v="0.93598776815768214"/>
    <n v="6.4012231842317899E-2"/>
    <n v="18204.554"/>
    <n v="1245.0099999999998"/>
    <n v="42"/>
    <n v="44"/>
    <n v="58"/>
    <n v="111"/>
    <n v="231"/>
    <n v="4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1799"/>
    <n v="0"/>
    <n v="2"/>
    <n v="56"/>
    <n v="0"/>
    <n v="0"/>
    <n v="0"/>
    <n v="0"/>
    <n v="0"/>
    <n v="10"/>
    <n v="0"/>
    <n v="0"/>
    <n v="1867"/>
  </r>
  <r>
    <x v="1"/>
    <n v="995"/>
    <n v="950"/>
    <n v="1"/>
    <n v="46"/>
    <n v="0"/>
    <n v="0"/>
    <n v="0"/>
    <n v="0"/>
    <n v="0"/>
    <n v="9"/>
    <n v="0"/>
    <n v="0"/>
    <n v="2001"/>
  </r>
  <r>
    <x v="2"/>
    <n v="1159"/>
    <n v="1005"/>
    <n v="0"/>
    <n v="40"/>
    <n v="0"/>
    <n v="0"/>
    <n v="0"/>
    <n v="0"/>
    <n v="0"/>
    <n v="18"/>
    <n v="0"/>
    <n v="0"/>
    <n v="2222"/>
  </r>
  <r>
    <x v="3"/>
    <n v="0"/>
    <n v="0"/>
    <n v="0"/>
    <n v="0"/>
    <n v="0"/>
    <n v="0"/>
    <n v="0"/>
    <n v="0"/>
    <n v="0"/>
    <n v="9"/>
    <n v="0"/>
    <n v="0"/>
    <n v="9"/>
  </r>
  <r>
    <x v="4"/>
    <n v="0"/>
    <n v="0"/>
    <n v="0"/>
    <n v="0"/>
    <n v="0"/>
    <n v="0"/>
    <n v="0"/>
    <n v="0"/>
    <n v="0"/>
    <n v="14"/>
    <n v="0"/>
    <n v="0"/>
    <n v="14"/>
  </r>
  <r>
    <x v="5"/>
    <m/>
    <m/>
    <m/>
    <m/>
    <m/>
    <m/>
    <m/>
    <m/>
    <m/>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26C69C4-2AB2-43BC-9091-C2CE5B49ADF4}" name="PivotTable2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17:G119"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dataField="1" showAll="0"/>
    <pivotField dataField="1" showAll="0"/>
    <pivotField dataField="1" showAll="0"/>
    <pivotField dataField="1" showAll="0"/>
    <pivotField dataField="1" showAll="0"/>
    <pivotField dataField="1" showAll="0"/>
  </pivotFields>
  <rowFields count="1">
    <field x="0"/>
  </rowFields>
  <rowItems count="2">
    <i>
      <x v="2"/>
    </i>
    <i t="grand">
      <x/>
    </i>
  </rowItems>
  <colFields count="1">
    <field x="-2"/>
  </colFields>
  <colItems count="6">
    <i>
      <x/>
    </i>
    <i i="1">
      <x v="1"/>
    </i>
    <i i="2">
      <x v="2"/>
    </i>
    <i i="3">
      <x v="3"/>
    </i>
    <i i="4">
      <x v="4"/>
    </i>
    <i i="5">
      <x v="5"/>
    </i>
  </colItems>
  <dataFields count="6">
    <dataField name="Sum of Usia 0-11" fld="116" baseField="0" baseItem="0"/>
    <dataField name="Sum of Usia 12-25" fld="117" baseField="0" baseItem="0"/>
    <dataField name="Sum of Usia 26-45" fld="118" baseField="0" baseItem="0"/>
    <dataField name="Sum of Usia 46-65" fld="119" baseField="0" baseItem="0"/>
    <dataField name="Sum of Diatas 65" fld="120" baseField="0" baseItem="0"/>
    <dataField name="Sum of Total" fld="12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7B8E9B-CDD2-43E6-BDCA-CC32E530B9D7}"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8:E10" firstHeaderRow="0" firstDataRow="1" firstDataCol="1"/>
  <pivotFields count="122">
    <pivotField axis="axisRow" showAll="0">
      <items count="5">
        <item h="1" x="0"/>
        <item h="1" x="1"/>
        <item x="2"/>
        <item h="1" x="3"/>
        <item t="default"/>
      </items>
    </pivotField>
    <pivotField numFmtId="4" showAll="0"/>
    <pivotField dataField="1" showAll="0"/>
    <pivotField dataField="1" showAll="0"/>
    <pivotField dataField="1" showAll="0"/>
    <pivotField dataField="1"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4">
    <i>
      <x/>
    </i>
    <i i="1">
      <x v="1"/>
    </i>
    <i i="2">
      <x v="2"/>
    </i>
    <i i="3">
      <x v="3"/>
    </i>
  </colItems>
  <dataFields count="4">
    <dataField name="Sum of Prestasi Bidang Olahraga" fld="2" baseField="0" baseItem="0"/>
    <dataField name="Sum of Prestasi Bidang Pendidikan" fld="3" baseField="0" baseItem="0"/>
    <dataField name="Sum of Prestasi Bidang Kesenian" fld="4" baseField="0" baseItem="0"/>
    <dataField name="Sum of Prestasi Bidang Kebersihan" fld="5" baseField="0" baseItem="0"/>
  </dataFields>
  <chartFormats count="4">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7" format="10" series="1">
      <pivotArea type="data" outline="0" fieldPosition="0">
        <references count="1">
          <reference field="4294967294" count="1" selected="0">
            <x v="2"/>
          </reference>
        </references>
      </pivotArea>
    </chartFormat>
    <chartFormat chart="7" format="11"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DAAE09-EE0F-4BF4-A453-C18819949A88}" name="PivotTable1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95:O97"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Lebakharjo2222" fld="97" baseField="0" baseItem="0"/>
    <dataField name="Sum of Wirotaman3333" fld="98" baseField="0" baseItem="0"/>
    <dataField name="Sum of Tamanasri4444" fld="99" baseField="0" baseItem="0"/>
    <dataField name="Sum of Tirtomarto5555" fld="100" baseField="0" baseItem="0"/>
    <dataField name="Sum of Purwoharjo6666" fld="101" baseField="0" baseItem="0"/>
    <dataField name="Sum of Sidorenggo7777" fld="102" baseField="0" baseItem="0"/>
    <dataField name="Sum of Tirtomoyo8888" fld="103" baseField="0" baseItem="0"/>
    <dataField name="Sum of Argoyuwono9999" fld="104" baseField="0" baseItem="0"/>
    <dataField name="Sum of Mulyoasri10101010" fld="105" baseField="0" baseItem="0"/>
    <dataField name="Sum of Tawangagung11111111" fld="106" baseField="0" baseItem="0"/>
    <dataField name="Sum of Simojayan12121212" fld="107" baseField="0" baseItem="0"/>
    <dataField name="Sum of Tamansari13131313" fld="108" baseField="0" baseItem="0"/>
    <dataField name="Sum of Sonowangi14141414" fld="109" baseField="0" baseItem="0"/>
    <dataField name="Sum of Jumlah15151515" fld="1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9727AD-AEEA-4D3D-A7C1-70265B952D31}" name="PivotTable13" cacheId="2"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50:C56" firstHeaderRow="1" firstDataRow="2" firstDataCol="1"/>
  <pivotFields count="122">
    <pivotField axis="axisCol"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2"/>
  </rowFields>
  <rowItems count="5">
    <i>
      <x/>
    </i>
    <i i="1">
      <x v="1"/>
    </i>
    <i i="2">
      <x v="2"/>
    </i>
    <i i="3">
      <x v="3"/>
    </i>
    <i i="4">
      <x v="4"/>
    </i>
  </rowItems>
  <colFields count="1">
    <field x="0"/>
  </colFields>
  <colItems count="2">
    <i>
      <x v="2"/>
    </i>
    <i t="grand">
      <x/>
    </i>
  </colItems>
  <dataFields count="5">
    <dataField name="Sum of Prestasi Bidang Pendidikan Jenjang TK" fld="36" baseField="0" baseItem="0"/>
    <dataField name="Sum of Prestasi Bidang Pendidikan Jenjang SD/MI" fld="37" baseField="0" baseItem="0"/>
    <dataField name="Sum of Prestasi Bidang Pendidikan Jenjang SMP/MTs" fld="38" baseField="0" baseItem="0"/>
    <dataField name="Sum of Prestasi Bidang Pendidikan Jenjang SMA/SMK/MA" fld="39" baseField="0" baseItem="0"/>
    <dataField name="Sum of Prestasi Bidang Pendidikan Jenjang Perguruan Tinggi" fld="40" baseField="0" baseItem="0"/>
  </dataFields>
  <chartFormats count="7">
    <chartFormat chart="3" format="10" series="1">
      <pivotArea type="data" outline="0" fieldPosition="0">
        <references count="1">
          <reference field="4294967294" count="1" selected="0">
            <x v="0"/>
          </reference>
        </references>
      </pivotArea>
    </chartFormat>
    <chartFormat chart="3" format="11" series="1">
      <pivotArea type="data" outline="0" fieldPosition="0">
        <references count="1">
          <reference field="4294967294" count="1" selected="0">
            <x v="1"/>
          </reference>
        </references>
      </pivotArea>
    </chartFormat>
    <chartFormat chart="3" format="12" series="1">
      <pivotArea type="data" outline="0" fieldPosition="0">
        <references count="1">
          <reference field="4294967294" count="1" selected="0">
            <x v="2"/>
          </reference>
        </references>
      </pivotArea>
    </chartFormat>
    <chartFormat chart="3" format="13" series="1">
      <pivotArea type="data" outline="0" fieldPosition="0">
        <references count="1">
          <reference field="4294967294" count="1" selected="0">
            <x v="3"/>
          </reference>
        </references>
      </pivotArea>
    </chartFormat>
    <chartFormat chart="3" format="14" series="1">
      <pivotArea type="data" outline="0" fieldPosition="0">
        <references count="1">
          <reference field="4294967294" count="1" selected="0">
            <x v="4"/>
          </reference>
        </references>
      </pivotArea>
    </chartFormat>
    <chartFormat chart="3" format="15">
      <pivotArea type="data" outline="0" fieldPosition="0">
        <references count="2">
          <reference field="4294967294" count="1" selected="0">
            <x v="1"/>
          </reference>
          <reference field="0" count="1" selected="0">
            <x v="2"/>
          </reference>
        </references>
      </pivotArea>
    </chartFormat>
    <chartFormat chart="3" format="16"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5DF5DA8-0AA7-4CFF-98E6-8DD3E6B068A3}" name="PivotTable1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9:H31"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dataField="1" showAll="0"/>
    <pivotField numFmtId="3" showAll="0"/>
    <pivotField dataField="1" showAll="0"/>
    <pivotField numFmtId="3" showAll="0"/>
    <pivotField dataField="1" showAll="0"/>
    <pivotField numFmtId="3" showAll="0"/>
    <pivotField dataField="1" showAll="0"/>
    <pivotField numFmtId="3" showAll="0"/>
    <pivotField dataField="1" showAll="0"/>
    <pivotField showAll="0"/>
    <pivotField dataField="1" showAll="0"/>
    <pivotField numFmtId="3"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7">
    <i>
      <x/>
    </i>
    <i i="1">
      <x v="1"/>
    </i>
    <i i="2">
      <x v="2"/>
    </i>
    <i i="3">
      <x v="3"/>
    </i>
    <i i="4">
      <x v="4"/>
    </i>
    <i i="5">
      <x v="5"/>
    </i>
    <i i="6">
      <x v="6"/>
    </i>
  </colItems>
  <dataFields count="7">
    <dataField name="Sum of Tempat Peribadatan Agama Islam" fld="12" baseField="0" baseItem="0"/>
    <dataField name="Sum of Tempat Peribadatan Agama Kristen Protestan" fld="14" baseField="0" baseItem="0"/>
    <dataField name="Sum of Tempat Peribadatan Agama Kristen Katolik" fld="16" baseField="0" baseItem="0"/>
    <dataField name="Sum of Tempat Peribadatan Agama Hindu" fld="18" baseField="0" baseItem="0"/>
    <dataField name="Sum of Tempat Peribadatan Agama Buddha" fld="20" baseField="0" baseItem="0"/>
    <dataField name="Sum of Tempat Peribadatan Agama Konghucu" fld="22" baseField="0" baseItem="0"/>
    <dataField name="Sum of Tempat Peribadatan untuk Kepercayaan kepada Tuhan YME" fld="2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0E1C49-1A90-4DA7-A360-340A3D742563}" name="PivotTable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7:O69"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dataField="1" numFmtId="2" showAll="0"/>
    <pivotField dataField="1" numFmtId="2" showAll="0"/>
    <pivotField dataField="1" showAll="0"/>
    <pivotField dataField="1" numFmtId="1" showAll="0"/>
    <pivotField dataField="1" numFmtId="2" showAll="0"/>
    <pivotField dataField="1" showAll="0"/>
    <pivotField dataField="1" numFmtId="2" showAll="0"/>
    <pivotField dataField="1" numFmtId="2" showAll="0"/>
    <pivotField dataField="1" numFmtId="1" showAll="0"/>
    <pivotField dataField="1" numFmtId="2" showAll="0"/>
    <pivotField dataField="1" showAll="0"/>
    <pivotField dataField="1" numFmtId="2" showAll="0"/>
    <pivotField dataField="1" showAll="0">
      <items count="3">
        <item x="1"/>
        <item x="0"/>
        <item t="default"/>
      </items>
    </pivotField>
    <pivotField dataField="1"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Lebakharjo2" fld="55" baseField="0" baseItem="0"/>
    <dataField name="Sum of Wirotaman3" fld="56" baseField="0" baseItem="0"/>
    <dataField name="Sum of Tamanasri4" fld="57" baseField="0" baseItem="0"/>
    <dataField name="Sum of Tirtomarto5" fld="58" baseField="0" baseItem="0"/>
    <dataField name="Sum of Purwoharjo6" fld="59" baseField="0" baseItem="0"/>
    <dataField name="Sum of Sidorenggo7" fld="60" baseField="0" baseItem="0"/>
    <dataField name="Count of Sonowangi14" fld="67" subtotal="count" baseField="0" baseItem="0"/>
    <dataField name="Sum of Tirtomoyo8" fld="61" baseField="0" baseItem="0"/>
    <dataField name="Sum of Argoyuwono9" fld="62" baseField="0" baseItem="0"/>
    <dataField name="Sum of Mulyoasri10" fld="63" baseField="0" baseItem="0"/>
    <dataField name="Sum of Tawangagung11" fld="64" baseField="0" baseItem="0"/>
    <dataField name="Sum of Simojayan12" fld="65" baseField="0" baseItem="0"/>
    <dataField name="Sum of Tamansari13" fld="66" baseField="0" baseItem="0"/>
    <dataField name="Sum of Jumlah15" fld="6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8AFBC48-B099-4210-B166-E62F9385A137}" name="PivotTable1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59:N61"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13">
    <i>
      <x/>
    </i>
    <i i="1">
      <x v="1"/>
    </i>
    <i i="2">
      <x v="2"/>
    </i>
    <i i="3">
      <x v="3"/>
    </i>
    <i i="4">
      <x v="4"/>
    </i>
    <i i="5">
      <x v="5"/>
    </i>
    <i i="6">
      <x v="6"/>
    </i>
    <i i="7">
      <x v="7"/>
    </i>
    <i i="8">
      <x v="8"/>
    </i>
    <i i="9">
      <x v="9"/>
    </i>
    <i i="10">
      <x v="10"/>
    </i>
    <i i="11">
      <x v="11"/>
    </i>
    <i i="12">
      <x v="12"/>
    </i>
  </colItems>
  <dataFields count="13">
    <dataField name="Sum of Lebakharjo" fld="41" baseField="0" baseItem="0"/>
    <dataField name="Sum of Wirotaman" fld="42" baseField="0" baseItem="0"/>
    <dataField name="Sum of Tamanasri" fld="43" baseField="0" baseItem="0"/>
    <dataField name="Sum of Tirtomarto" fld="44" baseField="0" baseItem="0"/>
    <dataField name="Sum of Purwoharjo" fld="45" baseField="0" baseItem="0"/>
    <dataField name="Sum of Sidorenggo" fld="46" baseField="0" baseItem="0"/>
    <dataField name="Sum of Tirtomoyo" fld="47" baseField="0" baseItem="0"/>
    <dataField name="Sum of Argoyuwono" fld="48" baseField="0" baseItem="0"/>
    <dataField name="Sum of Mulyoasri" fld="49" baseField="0" baseItem="0"/>
    <dataField name="Sum of Tawangagung" fld="50" baseField="0" baseItem="0"/>
    <dataField name="Sum of Simojayan" fld="51" baseField="0" baseItem="0"/>
    <dataField name="Sum of Tamansari" fld="52" baseField="0" baseItem="0"/>
    <dataField name="Sum of Sonowangi" fld="5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8EEA880-E653-4925-9F14-D27C6B528208}" name="PivotTable1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03:D105"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numFmtId="2" showAll="0"/>
    <pivotField numFmtId="9" showAll="0"/>
    <pivotField numFmtId="9" showAll="0"/>
    <pivotField dataField="1" numFmtId="2" showAll="0"/>
    <pivotField dataField="1"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3">
    <i>
      <x/>
    </i>
    <i i="1">
      <x v="1"/>
    </i>
    <i i="2">
      <x v="2"/>
    </i>
  </colItems>
  <dataFields count="3">
    <dataField name="Sum of Jumlah Lahan Produktif" fld="114" baseField="0" baseItem="0"/>
    <dataField name="Sum of Jumlah Lahan tidak Produktif" fld="115" baseField="0" baseItem="0"/>
    <dataField name="Sum of Jumlah Lahan" fld="1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6A3FBC-3005-49A6-83A0-44293872C0DF}" name="PivotTable1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79:O81"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dataField="1" numFmtId="1" showAll="0"/>
    <pivotField dataField="1" showAll="0"/>
    <pivotField dataField="1" numFmtId="1" showAll="0"/>
    <pivotField dataField="1" numFmtId="1" showAll="0"/>
    <pivotField dataField="1" numFmtId="2" showAll="0"/>
    <pivotField dataField="1" numFmtId="1" showAll="0"/>
    <pivotField dataField="1" numFmtId="1" showAll="0"/>
    <pivotField dataField="1" showAll="0"/>
    <pivotField dataField="1" numFmtId="1" showAll="0"/>
    <pivotField dataField="1" numFmtId="2" showAll="0"/>
    <pivotField dataField="1" numFmtId="1" showAll="0"/>
    <pivotField dataField="1" showAll="0"/>
    <pivotField dataField="1" showAll="0"/>
    <pivotField dataField="1"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Lebakharjo22" fld="69" baseField="0" baseItem="0"/>
    <dataField name="Sum of Wirotaman33" fld="70" baseField="0" baseItem="0"/>
    <dataField name="Sum of Tamanasri44" fld="71" baseField="0" baseItem="0"/>
    <dataField name="Sum of Tirtomarto55" fld="72" baseField="0" baseItem="0"/>
    <dataField name="Sum of Purwoharjo66" fld="73" baseField="0" baseItem="0"/>
    <dataField name="Sum of Sidorenggo77" fld="74" baseField="0" baseItem="0"/>
    <dataField name="Sum of Tirtomoyo88" fld="75" baseField="0" baseItem="0"/>
    <dataField name="Sum of Argoyuwono99" fld="76" baseField="0" baseItem="0"/>
    <dataField name="Sum of Mulyoasri1010" fld="77" baseField="0" baseItem="0"/>
    <dataField name="Sum of Tawangagung1111" fld="78" baseField="0" baseItem="0"/>
    <dataField name="Sum of Simojayan1212" fld="79" baseField="0" baseItem="0"/>
    <dataField name="Sum of Tamansari1313" fld="80" baseField="0" baseItem="0"/>
    <dataField name="Sum of Sonowangi1414" fld="81" baseField="0" baseItem="0"/>
    <dataField name="Sum of Jumlah1515" fld="8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DB5BDE3-B75C-408F-8ACF-871FD4E2E0E7}" name="PivotTable20"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110:C112"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dataField="1" numFmtId="9" showAll="0"/>
    <pivotField dataField="1"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2">
    <i>
      <x/>
    </i>
    <i i="1">
      <x v="1"/>
    </i>
  </colItems>
  <dataFields count="2">
    <dataField name="Sum of Lahan Produktif" fld="112" baseField="0" baseItem="0"/>
    <dataField name="Sum of Lahan Tidak Produktif" fld="1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8DFE4F0-1608-4622-AA47-8D842919ADA4}"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3" firstHeaderRow="1" firstDataRow="1" firstDataCol="1"/>
  <pivotFields count="122">
    <pivotField axis="axisRow" showAll="0">
      <items count="5">
        <item h="1" x="0"/>
        <item h="1" x="1"/>
        <item x="2"/>
        <item h="1" x="3"/>
        <item t="default"/>
      </items>
    </pivotField>
    <pivotField dataField="1"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Items count="1">
    <i/>
  </colItems>
  <dataFields count="1">
    <dataField name="Sum of Luas Wilayah"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ECA5155-47E3-4597-952E-E66461FD2F1D}" name="PivotTable8"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5:F17"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dataField="1" showAll="0"/>
    <pivotField dataField="1" showAll="0"/>
    <pivotField dataField="1" showAll="0"/>
    <pivotField dataField="1" showAll="0"/>
    <pivotField dataField="1"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5">
    <i>
      <x/>
    </i>
    <i i="1">
      <x v="1"/>
    </i>
    <i i="2">
      <x v="2"/>
    </i>
    <i i="3">
      <x v="3"/>
    </i>
    <i i="4">
      <x v="4"/>
    </i>
  </colItems>
  <dataFields count="5">
    <dataField name="Sum of Obyek Wisata Alam" fld="6" baseField="0" baseItem="0"/>
    <dataField name="Sum of Obyek Wisata Buatan" fld="7" baseField="0" baseItem="0"/>
    <dataField name="Sum of Obyek Wisata Edukasi" fld="8" baseField="0" baseItem="0"/>
    <dataField name="Sum of Obyek Wisata Budaya" fld="9" baseField="0" baseItem="0"/>
    <dataField name="Sum of Obyek Wisata Sejarah"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1A931F9-A85A-4826-8884-246E2C872ECD}" name="PivotTable1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3:E45"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4">
    <i>
      <x/>
    </i>
    <i i="1">
      <x v="1"/>
    </i>
    <i i="2">
      <x v="2"/>
    </i>
    <i i="3">
      <x v="3"/>
    </i>
  </colItems>
  <dataFields count="4">
    <dataField name="Sum of Desa" fld="32" baseField="0" baseItem="0"/>
    <dataField name="Sum of Dusun" fld="33" baseField="0" baseItem="0"/>
    <dataField name="Sum of RW" fld="34" baseField="0" baseItem="0"/>
    <dataField name="Sum of RT" fld="3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6D20BE01-F19E-4F1F-9400-CAC2A9E67CD3}" name="PivotTable1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6:H38"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7">
    <i>
      <x/>
    </i>
    <i i="1">
      <x v="1"/>
    </i>
    <i i="2">
      <x v="2"/>
    </i>
    <i i="3">
      <x v="3"/>
    </i>
    <i i="4">
      <x v="4"/>
    </i>
    <i i="5">
      <x v="5"/>
    </i>
    <i i="6">
      <x v="6"/>
    </i>
  </colItems>
  <dataFields count="7">
    <dataField name="Sum of Lapangan Sepak bola" fld="25" baseField="0" baseItem="0"/>
    <dataField name="Sum of Lapangan Futsal" fld="26" baseField="0" baseItem="0"/>
    <dataField name="Sum of Lapangan Voli" fld="27" baseField="0" baseItem="0"/>
    <dataField name="Sum of Lapangan Basket" fld="28" baseField="0" baseItem="0"/>
    <dataField name="Sum of Lapangan Bulutangkis" fld="29" baseField="0" baseItem="0"/>
    <dataField name="Sum of Lapangan Tenis Lapangan" fld="30" baseField="0" baseItem="0"/>
    <dataField name="Sum of Lapangan Lain-lain" fld="3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D129D31-895D-4967-8E94-F38DB28847B9}" name="PivotTable9"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2:H24"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dataField="1" numFmtId="3" showAll="0"/>
    <pivotField showAll="0"/>
    <pivotField dataField="1" numFmtId="3" showAll="0"/>
    <pivotField showAll="0"/>
    <pivotField dataField="1" numFmtId="3" showAll="0"/>
    <pivotField showAll="0"/>
    <pivotField dataField="1" numFmtId="3" showAll="0"/>
    <pivotField showAll="0"/>
    <pivotField dataField="1" numFmtId="3" showAll="0"/>
    <pivotField showAll="0"/>
    <pivotField dataField="1" showAll="0"/>
    <pivotField showAll="0"/>
    <pivotField dataField="1"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7">
    <i>
      <x/>
    </i>
    <i i="1">
      <x v="1"/>
    </i>
    <i i="2">
      <x v="2"/>
    </i>
    <i i="3">
      <x v="3"/>
    </i>
    <i i="4">
      <x v="4"/>
    </i>
    <i i="5">
      <x v="5"/>
    </i>
    <i i="6">
      <x v="6"/>
    </i>
  </colItems>
  <dataFields count="7">
    <dataField name="Sum of Jumlah Penduduk Agama Islam" fld="11" baseField="0" baseItem="0"/>
    <dataField name="Sum of Jumlah Penduduk Agama Kristen Protestan" fld="13" baseField="0" baseItem="0"/>
    <dataField name="Sum of Jumlah Penduduk Agama Kristen Katolik" fld="15" baseField="0" baseItem="0"/>
    <dataField name="Sum of Jumlah Penduduk Agama Hindu" fld="17" baseField="0" baseItem="0"/>
    <dataField name="Sum of Jumlah Penduduk Agama Buddha" fld="19" baseField="0" baseItem="0"/>
    <dataField name="Sum of Jumlah Penduduk Agama Konghucu" fld="21" baseField="0" baseItem="0"/>
    <dataField name="Sum of Jumlah Penduduk Menganut Kepercayaan kepada Tuhan YME"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1A18DAE-63C3-4FAB-B2E7-EFDFAA4C580A}" name="PivotTable1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7:O89" firstHeaderRow="0" firstDataRow="1" firstDataCol="1"/>
  <pivotFields count="122">
    <pivotField axis="axisRow" showAll="0">
      <items count="5">
        <item h="1" x="0"/>
        <item h="1" x="1"/>
        <item x="2"/>
        <item h="1" x="3"/>
        <item t="default"/>
      </items>
    </pivotField>
    <pivotField numFmtId="4" showAll="0"/>
    <pivotField showAll="0"/>
    <pivotField showAll="0"/>
    <pivotField showAll="0"/>
    <pivotField showAll="0"/>
    <pivotField showAll="0"/>
    <pivotField showAll="0"/>
    <pivotField showAll="0"/>
    <pivotField showAll="0"/>
    <pivotField showAll="0"/>
    <pivotField numFmtId="3" showAll="0"/>
    <pivotField showAll="0"/>
    <pivotField numFmtId="3" showAll="0"/>
    <pivotField showAll="0"/>
    <pivotField numFmtId="3" showAll="0"/>
    <pivotField showAll="0"/>
    <pivotField numFmtId="3" showAll="0"/>
    <pivotField showAll="0"/>
    <pivotField numFmtId="3" showAll="0"/>
    <pivotField showAll="0"/>
    <pivotField showAll="0"/>
    <pivotField showAll="0"/>
    <pivotField numFmtId="3"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showAll="0"/>
    <pivotField numFmtId="1" showAll="0"/>
    <pivotField numFmtId="2" showAll="0"/>
    <pivotField showAll="0"/>
    <pivotField numFmtId="2" showAll="0"/>
    <pivotField numFmtId="2" showAll="0"/>
    <pivotField numFmtId="1" showAll="0"/>
    <pivotField numFmtId="2" showAll="0"/>
    <pivotField showAll="0"/>
    <pivotField numFmtId="2" showAll="0"/>
    <pivotField showAll="0"/>
    <pivotField numFmtId="2" showAll="0"/>
    <pivotField numFmtId="1" showAll="0"/>
    <pivotField showAll="0"/>
    <pivotField numFmtId="1" showAll="0"/>
    <pivotField numFmtId="1" showAll="0"/>
    <pivotField numFmtId="2" showAll="0"/>
    <pivotField numFmtId="1" showAll="0"/>
    <pivotField numFmtId="1" showAll="0"/>
    <pivotField showAll="0"/>
    <pivotField numFmtId="1" showAll="0"/>
    <pivotField numFmtId="2" showAll="0"/>
    <pivotField numFmtId="1" showAll="0"/>
    <pivotField showAll="0"/>
    <pivotField showAll="0"/>
    <pivotField numFmtId="2"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9" showAll="0"/>
    <pivotField numFmtId="9" showAll="0"/>
    <pivotField numFmtId="2" showAll="0"/>
    <pivotField numFmtId="2" showAll="0"/>
    <pivotField showAll="0"/>
    <pivotField showAll="0"/>
    <pivotField showAll="0"/>
    <pivotField showAll="0"/>
    <pivotField showAll="0"/>
    <pivotField showAll="0"/>
  </pivotFields>
  <rowFields count="1">
    <field x="0"/>
  </rowFields>
  <rowItems count="2">
    <i>
      <x v="2"/>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Lebakharjo222" fld="83" baseField="0" baseItem="0"/>
    <dataField name="Sum of Wirotaman333" fld="84" baseField="0" baseItem="0"/>
    <dataField name="Sum of Tamanasri444" fld="85" baseField="0" baseItem="0"/>
    <dataField name="Sum of Tirtomarto555" fld="86" baseField="0" baseItem="0"/>
    <dataField name="Sum of Purwoharjo666" fld="87" baseField="0" baseItem="0"/>
    <dataField name="Sum of Sidorenggo777" fld="88" baseField="0" baseItem="0"/>
    <dataField name="Sum of Tirtomoyo888" fld="89" baseField="0" baseItem="0"/>
    <dataField name="Sum of Argoyuwono999" fld="90" baseField="0" baseItem="0"/>
    <dataField name="Sum of Mulyoasri101010" fld="91" baseField="0" baseItem="0"/>
    <dataField name="Sum of Tawangagung111111" fld="92" baseField="0" baseItem="0"/>
    <dataField name="Sum of Simojayan121212" fld="93" baseField="0" baseItem="0"/>
    <dataField name="Sum of Tamansari131313" fld="94" baseField="0" baseItem="0"/>
    <dataField name="Sum of Sonowangi141414" fld="95" baseField="0" baseItem="0"/>
    <dataField name="Sum of Jumlah151515" fld="9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2303CE8-FCB2-4C34-A65C-2997327A94D9}" name="PivotTable2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40:P42"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usaha mikro dan kecil"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1672AA25-4BEB-498E-A7EC-587ABFF47DCB}" name="PivotTable2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1:H33" firstHeaderRow="1" firstDataRow="2" firstDataCol="1"/>
  <pivotFields count="14">
    <pivotField axis="axisCol" showAll="0">
      <items count="7">
        <item x="0"/>
        <item x="1"/>
        <item x="2"/>
        <item x="3"/>
        <item x="4"/>
        <item x="5"/>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Ijin Mendirikan Bangunan (IMB)"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39A2D44C-3604-4679-AEA2-C59893BB8A93}" name="PivotTable1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8:H10"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Items count="1">
    <i/>
  </rowItems>
  <colFields count="1">
    <field x="0"/>
  </colFields>
  <colItems count="7">
    <i>
      <x/>
    </i>
    <i>
      <x v="1"/>
    </i>
    <i>
      <x v="2"/>
    </i>
    <i>
      <x v="3"/>
    </i>
    <i>
      <x v="4"/>
    </i>
    <i>
      <x v="5"/>
    </i>
    <i t="grand">
      <x/>
    </i>
  </colItems>
  <dataFields count="1">
    <dataField name="Sum of Jumlah"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94259A8-968C-47E9-9D15-8ECEA7165431}" name="PivotTable3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43:P45"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s>
  <rowItems count="1">
    <i/>
  </rowItems>
  <colFields count="1">
    <field x="0"/>
  </colFields>
  <colItems count="7">
    <i>
      <x/>
    </i>
    <i>
      <x v="1"/>
    </i>
    <i>
      <x v="2"/>
    </i>
    <i>
      <x v="3"/>
    </i>
    <i>
      <x v="4"/>
    </i>
    <i>
      <x v="5"/>
    </i>
    <i t="grand">
      <x/>
    </i>
  </colItems>
  <dataFields count="1">
    <dataField name="Sum of Terselesaikannya Surat rekomendasi Ijin perkemahan"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CA91FBC4-1B63-4C95-95C6-749F40D2202A}" name="PivotTable3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3:H45"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pemotongan hewan untuk hari tertentu"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A8C325B4-760C-4C2C-AA7D-FE08419D1853}" name="PivotTable2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37:P39"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lokasi kegiatan pengembangan pertanian, peternakan dan perikana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AC09BB9-75E1-4AE1-AA6C-B3639523224D}" name="PivotTable2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4:H36"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Ijin penerbitan izin sekolah swasta"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A27BE672-5E1C-4A2D-BF83-D6599D45E846}" name="PivotTable17"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0:H22" firstHeaderRow="1" firstDataRow="2" firstDataCol="1"/>
  <pivotFields count="14">
    <pivotField axis="axisCol" showAll="0">
      <items count="7">
        <item x="0"/>
        <item x="1"/>
        <item x="2"/>
        <item x="3"/>
        <item x="4"/>
        <item x="5"/>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Surat Permohonan Kartu Tanda Penduduk ( KTP )"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491190EA-7101-4FC4-98C6-1511BA85A258}" name="PivotTable2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20:P22" firstHeaderRow="1" firstDataRow="2" firstDataCol="1"/>
  <pivotFields count="14">
    <pivotField axis="axisCol" showAll="0">
      <items count="7">
        <item x="0"/>
        <item x="1"/>
        <item x="2"/>
        <item x="3"/>
        <item x="4"/>
        <item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Surat Permohonan Kartu Keluarga ( KK )"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4753775E-43A8-4D15-8A3E-2C60AE6DE8AA}" name="PivotTable1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Z4" firstHeaderRow="1" firstDataRow="3" firstDataCol="0"/>
  <pivotFields count="14">
    <pivotField axis="axisCol" showAll="0">
      <items count="7">
        <item h="1" x="0"/>
        <item h="1" x="1"/>
        <item h="1" x="2"/>
        <item x="3"/>
        <item h="1" x="4"/>
        <item h="1" x="5"/>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Items count="1">
    <i/>
  </rowItems>
  <colFields count="2">
    <field x="0"/>
    <field x="-2"/>
  </colFields>
  <colItems count="26">
    <i>
      <x v="3"/>
      <x/>
    </i>
    <i r="1" i="1">
      <x v="1"/>
    </i>
    <i r="1" i="2">
      <x v="2"/>
    </i>
    <i r="1" i="3">
      <x v="3"/>
    </i>
    <i r="1" i="4">
      <x v="4"/>
    </i>
    <i r="1" i="5">
      <x v="5"/>
    </i>
    <i r="1" i="6">
      <x v="6"/>
    </i>
    <i r="1" i="7">
      <x v="7"/>
    </i>
    <i r="1" i="8">
      <x v="8"/>
    </i>
    <i r="1" i="9">
      <x v="9"/>
    </i>
    <i r="1" i="10">
      <x v="10"/>
    </i>
    <i r="1" i="11">
      <x v="11"/>
    </i>
    <i r="1" i="12">
      <x v="12"/>
    </i>
    <i t="grand">
      <x/>
    </i>
    <i t="grand" i="1">
      <x/>
    </i>
    <i t="grand" i="2">
      <x/>
    </i>
    <i t="grand" i="3">
      <x/>
    </i>
    <i t="grand" i="4">
      <x/>
    </i>
    <i t="grand" i="5">
      <x/>
    </i>
    <i t="grand" i="6">
      <x/>
    </i>
    <i t="grand" i="7">
      <x/>
    </i>
    <i t="grand" i="8">
      <x/>
    </i>
    <i t="grand" i="9">
      <x/>
    </i>
    <i t="grand" i="10">
      <x/>
    </i>
    <i t="grand" i="11">
      <x/>
    </i>
    <i t="grand" i="12">
      <x/>
    </i>
  </colItems>
  <dataFields count="13">
    <dataField name="Sum of Surat Permohonan Kartu Tanda Penduduk ( KTP )" fld="1" baseField="0" baseItem="0"/>
    <dataField name="Sum of Surat Permohonan Kartu Keluarga ( KK )" fld="2" baseField="0" baseItem="0"/>
    <dataField name="Sum of Terselesaikannya Surat Ijin Mendirikan Bangunan (IMB)" fld="3" baseField="0" baseItem="0"/>
    <dataField name="Sum of Terselesaikannya Surat Ijin Keramaian" fld="4" baseField="0" baseItem="0"/>
    <dataField name="Sum of Terselesaikannya Surat Ijin penerbitan izin sekolah swasta" fld="5" baseField="0" baseItem="0"/>
    <dataField name="Sum of Terselesaikannya Surat rekomendasi Ijin usaha peternakan di bawah 5000 ekor" fld="6" baseField="0" baseItem="0"/>
    <dataField name="Sum of Terselesaikannya Surat rekomendasi Ijin lokasi terhadap calon lokasi tempat pembuangan akhir sampah" fld="7" baseField="0" baseItem="0"/>
    <dataField name="Sum of Terselesaikannya Surat rekomendasi Ijin lokasi kegiatan pengembangan pertanian, peternakan dan perikanan" fld="8" baseField="0" baseItem="0"/>
    <dataField name="Sum of Terselesaikannya Surat rekomendasi Ijin pemanfaatan lahan berdasarkan tata ruang wilayah dan tata guna lahan" fld="9" baseField="0" baseItem="0"/>
    <dataField name="Sum of Terselesaikannya Surat rekomendasi Ijin usaha mikro dan kecil" fld="10" baseField="0" baseItem="0"/>
    <dataField name="Sum of Terselesaikannya Surat rekomendasi Ijin pemotongan hewan untuk hari tertentu" fld="11" baseField="0" baseItem="0"/>
    <dataField name="Sum of Terselesaikannya Surat rekomendasi Ijin perkemahan" fld="12" baseField="0" baseItem="0"/>
    <dataField name="Sum of Jumlah"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5FC21921-92C4-49CE-8C48-5AB3E01F4293}" name="PivotTable2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7:H39"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lokasi terhadap calon lokasi tempat pembuangan akhir sampah"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B65B2397-D591-49E8-A199-03A0680EA0F6}" name="PivotTable2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31:P33" firstHeaderRow="1" firstDataRow="2" firstDataCol="1"/>
  <pivotFields count="14">
    <pivotField axis="axisCol" showAll="0">
      <items count="7">
        <item x="0"/>
        <item x="1"/>
        <item x="2"/>
        <item x="3"/>
        <item x="4"/>
        <item x="5"/>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Ijin Keramai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5428015F-2EC9-4366-93E4-BE5544A734DD}" name="PivotTable2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34:P36"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usaha peternakan di bawah 5000 ekor"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9800AE51-8190-4C02-B455-4AE6B0DC7467}" name="PivotTable2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0:H42" firstHeaderRow="1" firstDataRow="2" firstDataCol="1"/>
  <pivotFields count="14">
    <pivotField axis="axisCol" showAll="0">
      <items count="7">
        <item x="0"/>
        <item x="1"/>
        <item x="2"/>
        <item x="3"/>
        <item x="4"/>
        <item x="5"/>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Items count="1">
    <i/>
  </rowItems>
  <colFields count="1">
    <field x="0"/>
  </colFields>
  <colItems count="7">
    <i>
      <x/>
    </i>
    <i>
      <x v="1"/>
    </i>
    <i>
      <x v="2"/>
    </i>
    <i>
      <x v="3"/>
    </i>
    <i>
      <x v="4"/>
    </i>
    <i>
      <x v="5"/>
    </i>
    <i t="grand">
      <x/>
    </i>
  </colItems>
  <dataFields count="1">
    <dataField name="Sum of Terselesaikannya Surat rekomendasi Ijin pemanfaatan lahan berdasarkan tata ruang wilayah dan tata guna lahan"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hun1" xr10:uid="{FB83685B-2D9C-456B-B709-2271DF433A92}" sourceName="Tahun">
  <pivotTables>
    <pivotTable tabId="9" name="PivotTable21"/>
    <pivotTable tabId="9" name="PivotTable10"/>
    <pivotTable tabId="9" name="PivotTable11"/>
    <pivotTable tabId="9" name="PivotTable12"/>
    <pivotTable tabId="9" name="PivotTable13"/>
    <pivotTable tabId="9" name="PivotTable14"/>
    <pivotTable tabId="9" name="PivotTable15"/>
    <pivotTable tabId="9" name="PivotTable16"/>
    <pivotTable tabId="9" name="PivotTable17"/>
    <pivotTable tabId="9" name="PivotTable18"/>
    <pivotTable tabId="9" name="PivotTable19"/>
    <pivotTable tabId="9" name="PivotTable20"/>
    <pivotTable tabId="9" name="PivotTable6"/>
    <pivotTable tabId="9" name="PivotTable7"/>
    <pivotTable tabId="9" name="PivotTable8"/>
    <pivotTable tabId="9" name="PivotTable9"/>
  </pivotTables>
  <data>
    <tabular pivotCacheId="509677468">
      <items count="4">
        <i x="0"/>
        <i x="1"/>
        <i x="2" s="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hun" xr10:uid="{643B6BF0-B89C-40A9-9CE0-26B1E68D5C24}" sourceName="Tahun">
  <pivotTables>
    <pivotTable tabId="16" name="PivotTable11"/>
  </pivotTables>
  <data>
    <tabular pivotCacheId="313563237">
      <items count="6">
        <i x="0"/>
        <i x="1"/>
        <i x="2"/>
        <i x="3" s="1"/>
        <i x="4"/>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hun 2" xr10:uid="{00F3B81F-1E3F-4496-8A8F-2610B1C1C533}" cache="Slicer_Tahun1" caption="Tahun" columnCount="2" style="SlicerStyleLight1 2 2"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hun 1" xr10:uid="{8E43631B-C8CE-4DAD-A55A-8E823B0577C8}" cache="Slicer_Tahun" caption="Tahun" style="SlicerStyleLight1 2 2" rowHeight="2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5D7D25A-6DC3-4BB6-93C6-1CCBDFB82138}" name="Table1" displayName="Table1" ref="C1:C5" totalsRowShown="0" headerRowDxfId="151" dataDxfId="149" headerRowBorderDxfId="150" tableBorderDxfId="148" totalsRowBorderDxfId="147">
  <autoFilter ref="C1:C5" xr:uid="{35D7D25A-6DC3-4BB6-93C6-1CCBDFB82138}"/>
  <tableColumns count="1">
    <tableColumn id="1" xr3:uid="{295E5AC5-7642-48AE-98EE-08161B9E2F81}" name="Luas Wilayah" dataDxfId="14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BAEE27-DDD5-4DC7-A201-AC91B8027464}" name="Table2" displayName="Table2" ref="B1:B5" totalsRowShown="0" headerRowDxfId="145" dataDxfId="143" headerRowBorderDxfId="144" tableBorderDxfId="142" totalsRowBorderDxfId="141">
  <autoFilter ref="B1:B5" xr:uid="{14BAEE27-DDD5-4DC7-A201-AC91B8027464}"/>
  <tableColumns count="1">
    <tableColumn id="1" xr3:uid="{451EE8F1-2F2F-4870-A561-CAEF32FEC4EE}" name="Tahun" dataDxfId="1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83848C-92F2-4D29-AC5E-E960C63A8995}" name="Table3" displayName="Table3" ref="D1:G5" totalsRowShown="0" headerRowDxfId="139" dataDxfId="137" headerRowBorderDxfId="138" tableBorderDxfId="136" totalsRowBorderDxfId="135">
  <autoFilter ref="D1:G5" xr:uid="{A883848C-92F2-4D29-AC5E-E960C63A8995}"/>
  <tableColumns count="4">
    <tableColumn id="1" xr3:uid="{5032CD95-C1F6-4447-B0FC-5F75B2732C4D}" name="Prestasi Bidang Olahraga" dataDxfId="134"/>
    <tableColumn id="2" xr3:uid="{1B563A7C-DEF1-4FC6-8B65-0B7768D1675F}" name="Prestasi Bidang Pendidikan" dataDxfId="133"/>
    <tableColumn id="3" xr3:uid="{922E68FB-7317-47A8-88F9-D86AD962E571}" name="Prestasi Bidang Kesenian" dataDxfId="132"/>
    <tableColumn id="4" xr3:uid="{08477620-B3CD-45B8-B7DB-D99D55612E88}" name="Prestasi Bidang Kebersihan" dataDxfId="1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9CC8F3-97DD-448D-A6BB-70F37A991618}" name="Table4" displayName="Table4" ref="H1:L5" totalsRowShown="0" headerRowDxfId="130" dataDxfId="128" headerRowBorderDxfId="129" tableBorderDxfId="127" totalsRowBorderDxfId="126">
  <autoFilter ref="H1:L5" xr:uid="{389CC8F3-97DD-448D-A6BB-70F37A991618}"/>
  <tableColumns count="5">
    <tableColumn id="1" xr3:uid="{3B9419B1-6F28-4ECA-9F32-A71B17BB785E}" name="Obyek Wisata Alam" dataDxfId="125"/>
    <tableColumn id="2" xr3:uid="{EE969464-18E3-4B47-A686-8D2238202D69}" name="Obyek Wisata Buatan" dataDxfId="124"/>
    <tableColumn id="3" xr3:uid="{B69D769A-04EB-41E3-959F-4D9DE9BB86F1}" name="Obyek Wisata Edukasi" dataDxfId="123"/>
    <tableColumn id="4" xr3:uid="{C0A9F4A1-CD73-4A1C-93F2-C6BC2E3CDB5A}" name="Obyek Wisata Budaya" dataDxfId="122"/>
    <tableColumn id="5" xr3:uid="{065E21D5-F0D7-4E9E-8F41-B96DB3D1E07E}" name="Obyek Wisata Sejarah" dataDxfId="12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3C8F36-BB91-4335-AB59-6D2FF6D3D157}" name="Table5" displayName="Table5" ref="M1:Z5" totalsRowShown="0" headerRowDxfId="120" dataDxfId="118" headerRowBorderDxfId="119" tableBorderDxfId="117" totalsRowBorderDxfId="116">
  <autoFilter ref="M1:Z5" xr:uid="{4E3C8F36-BB91-4335-AB59-6D2FF6D3D157}"/>
  <tableColumns count="14">
    <tableColumn id="1" xr3:uid="{FC815022-6CE4-4FD2-96B9-6B07200754CB}" name="Jumlah Penduduk Agama Islam" dataDxfId="115"/>
    <tableColumn id="2" xr3:uid="{15DA3740-3DD5-4DF7-8567-E4BA1AB8D3ED}" name="Tempat Peribadatan Agama Islam" dataDxfId="114"/>
    <tableColumn id="3" xr3:uid="{60637B9A-B166-42FB-AF1C-ECE752F0A5FD}" name="Jumlah Penduduk Agama Kristen Protestan" dataDxfId="113"/>
    <tableColumn id="4" xr3:uid="{01A7D5F9-A9A4-4BE8-861B-417DBB8B40C6}" name="Tempat Peribadatan Agama Kristen Protestan" dataDxfId="112"/>
    <tableColumn id="5" xr3:uid="{7F3F4AD0-B2B8-46DD-848A-B0479B62806A}" name="Jumlah Penduduk Agama Kristen Katolik" dataDxfId="111"/>
    <tableColumn id="6" xr3:uid="{31EC21E3-D9BA-4B8B-AA80-ECD45EF5E5B9}" name="Tempat Peribadatan Agama Kristen Katolik" dataDxfId="110"/>
    <tableColumn id="7" xr3:uid="{C6945F3C-7FB7-4208-A092-F0942D8072E3}" name="Jumlah Penduduk Agama Hindu" dataDxfId="109"/>
    <tableColumn id="8" xr3:uid="{D4E2A6F5-9552-4946-8864-1E173C6F7727}" name="Tempat Peribadatan Agama Hindu" dataDxfId="108"/>
    <tableColumn id="9" xr3:uid="{5589DD76-192D-4B8E-AFB4-F302A2FFEB69}" name="Jumlah Penduduk Agama Buddha" dataDxfId="107"/>
    <tableColumn id="10" xr3:uid="{17870CB7-6418-4833-AA09-1A86482E93E4}" name="Tempat Peribadatan Agama Buddha" dataDxfId="106"/>
    <tableColumn id="11" xr3:uid="{768E4E5E-3B2B-4967-80D0-AFA6A527C2BF}" name="Jumlah Penduduk Agama Konghucu" dataDxfId="105"/>
    <tableColumn id="12" xr3:uid="{36C237F0-9904-4886-90D8-39903C746E03}" name="Tempat Peribadatan Agama Konghucu" dataDxfId="104"/>
    <tableColumn id="13" xr3:uid="{75F901E7-38DB-4D04-8880-499F0BEAA108}" name="Jumlah Penduduk Menganut Kepercayaan kepada Tuhan YME" dataDxfId="103"/>
    <tableColumn id="14" xr3:uid="{E58B3AA3-7DE2-41BF-B251-7C76951FB844}" name="Tempat Peribadatan untuk Kepercayaan kepada Tuhan YME" dataDxfId="10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AD1933F-58E4-46A2-88C5-52E4F9D9DADD}" name="Table6" displayName="Table6" ref="AA1:DS5" totalsRowShown="0" headerRowDxfId="101" dataDxfId="99" headerRowBorderDxfId="100" tableBorderDxfId="98" totalsRowBorderDxfId="97">
  <autoFilter ref="AA1:DS5" xr:uid="{CAD1933F-58E4-46A2-88C5-52E4F9D9DADD}"/>
  <tableColumns count="97">
    <tableColumn id="1" xr3:uid="{4B75369E-8E6F-4B1A-A7F3-0C1D339D6D92}" name="Lapangan Sepak bola" dataDxfId="96"/>
    <tableColumn id="2" xr3:uid="{8EBB67DF-E8AE-4387-A8D4-C76E8164AF99}" name="Lapangan Futsal" dataDxfId="95"/>
    <tableColumn id="3" xr3:uid="{067C1E5C-BD02-4067-9FF2-C3E88F6AFFBF}" name="Lapangan Voli" dataDxfId="94"/>
    <tableColumn id="4" xr3:uid="{9964A68F-378F-403B-A805-CDBFD31D2CC0}" name="Lapangan Basket" dataDxfId="93"/>
    <tableColumn id="5" xr3:uid="{C4AB3DAB-A4FF-4320-A8D1-B5923810B3CC}" name="Lapangan Bulutangkis" dataDxfId="92"/>
    <tableColumn id="6" xr3:uid="{EC9D7989-59F1-4C08-8AF5-DB720040200A}" name="Lapangan Tenis Lapangan" dataDxfId="91"/>
    <tableColumn id="7" xr3:uid="{1FBCC838-7F83-4256-99E2-43DFC230B250}" name="Lapangan Lain-lain" dataDxfId="90"/>
    <tableColumn id="8" xr3:uid="{BA780416-D588-4D01-969B-BC7861D5CC52}" name="Desa" dataDxfId="89"/>
    <tableColumn id="9" xr3:uid="{10496BE9-DD05-4CFF-92EB-6876EF18889B}" name="Dusun" dataDxfId="88"/>
    <tableColumn id="10" xr3:uid="{6B0F334D-AB40-45C7-8586-EB172F874E4B}" name="RW" dataDxfId="87"/>
    <tableColumn id="11" xr3:uid="{4BE384F3-2BA4-4577-9D7D-617D12040983}" name="RT" dataDxfId="86"/>
    <tableColumn id="12" xr3:uid="{BD88179E-99F3-462C-BA36-FD2C93328348}" name="Prestasi Bidang Pendidikan Jenjang TK" dataDxfId="85"/>
    <tableColumn id="13" xr3:uid="{DBEA9950-83F6-42E6-BE53-42CEB61F5438}" name="Prestasi Bidang Pendidikan Jenjang SD/MI" dataDxfId="84"/>
    <tableColumn id="14" xr3:uid="{27F0FFE4-FC34-4AFA-A734-E6342939C1E1}" name="Prestasi Bidang Pendidikan Jenjang SMP/MTs" dataDxfId="83"/>
    <tableColumn id="15" xr3:uid="{5EE12941-6FDF-4C86-BE94-F2A9FB3A249C}" name="Prestasi Bidang Pendidikan Jenjang SMA/SMK/MA" dataDxfId="82"/>
    <tableColumn id="16" xr3:uid="{641B8360-C568-4372-B817-10E5A62BC4A8}" name="Prestasi Bidang Pendidikan Jenjang Perguruan Tinggi" dataDxfId="81"/>
    <tableColumn id="17" xr3:uid="{6329F4C7-5BD0-4FEB-8DE7-AC132DE67FF6}" name="Lebakharjo" dataDxfId="80"/>
    <tableColumn id="18" xr3:uid="{AFE86B96-F050-42D7-91C7-964D46F67EF5}" name="Wirotaman" dataDxfId="79"/>
    <tableColumn id="19" xr3:uid="{52B53DDE-204B-48F7-ACC2-47F73EE0D9E5}" name="Tamanasri" dataDxfId="78"/>
    <tableColumn id="20" xr3:uid="{7B35C9AE-1BD2-4ED4-ABBD-359B6CE9E73D}" name="Tirtomarto" dataDxfId="77"/>
    <tableColumn id="21" xr3:uid="{FCE106F7-B4F5-4D08-85C9-970D31009200}" name="Purwoharjo" dataDxfId="76"/>
    <tableColumn id="22" xr3:uid="{615E2E4E-9679-4F5D-8728-BBCC03B55561}" name="Sidorenggo" dataDxfId="75"/>
    <tableColumn id="23" xr3:uid="{CE0D9A0B-F921-4184-A4AA-D26B78DBB2CC}" name="Tirtomoyo" dataDxfId="74"/>
    <tableColumn id="24" xr3:uid="{EE53DFF4-5CC2-4A2C-B1BD-4283A847D02B}" name="Argoyuwono" dataDxfId="73"/>
    <tableColumn id="25" xr3:uid="{849C4E07-2721-4903-9676-39A756724E83}" name="Mulyoasri" dataDxfId="72"/>
    <tableColumn id="26" xr3:uid="{55C47F09-42AE-4188-A875-9AECC8585EC0}" name="Tawangagung" dataDxfId="71"/>
    <tableColumn id="27" xr3:uid="{4C70BA72-8C70-488B-A8EB-267FE6A8DC50}" name="Simojayan" dataDxfId="70"/>
    <tableColumn id="28" xr3:uid="{CDD4BD2B-6940-42E0-A3BD-188EDBB0877C}" name="Tamansari" dataDxfId="69"/>
    <tableColumn id="29" xr3:uid="{E713B7F4-9891-4F10-B82C-E0DB1519FC69}" name="Sonowangi" dataDxfId="68"/>
    <tableColumn id="30" xr3:uid="{20BD331E-53BE-45C3-A075-D688618429B1}" name="Jumlah" dataDxfId="67">
      <calculatedColumnFormula>SUM(AQ2:BC2)</calculatedColumnFormula>
    </tableColumn>
    <tableColumn id="31" xr3:uid="{D1C6C346-0349-472E-8658-837AD4F4F403}" name="Lebakharjo2" dataDxfId="66"/>
    <tableColumn id="32" xr3:uid="{274A3F37-519F-449F-BF46-E9F85CCB1E6E}" name="Wirotaman3" dataDxfId="65"/>
    <tableColumn id="33" xr3:uid="{35FC0669-B3BC-4BDF-881A-45340B3917B6}" name="Tamanasri4" dataDxfId="64"/>
    <tableColumn id="34" xr3:uid="{B733150E-E3D4-4106-A342-B8942762845B}" name="Tirtomarto5" dataDxfId="63"/>
    <tableColumn id="35" xr3:uid="{B19E5745-7607-4A1E-AE6F-8F162E2961B5}" name="Purwoharjo6" dataDxfId="62"/>
    <tableColumn id="36" xr3:uid="{DBEF2893-2641-4F18-9AAF-5062C44B9D18}" name="Sidorenggo7" dataDxfId="61"/>
    <tableColumn id="37" xr3:uid="{DEB4AE8E-6B54-4FEA-A9DE-957DD7C0A643}" name="Tirtomoyo8" dataDxfId="60"/>
    <tableColumn id="38" xr3:uid="{E4163147-B470-4A62-8CFF-4DDC22B4C85F}" name="Argoyuwono9" dataDxfId="59"/>
    <tableColumn id="39" xr3:uid="{2506431C-70B9-4011-818A-63CD4DC236D3}" name="Mulyoasri10" dataDxfId="58"/>
    <tableColumn id="40" xr3:uid="{27132E76-0B73-4A33-8C6E-9963BAEF1007}" name="Tawangagung11" dataDxfId="57"/>
    <tableColumn id="41" xr3:uid="{93E99F72-4FD5-47FA-B75C-35EFE6EBA6B9}" name="Simojayan12" dataDxfId="56"/>
    <tableColumn id="42" xr3:uid="{A7B6A410-75AC-4444-A5B6-B3BDFED969A6}" name="Tamansari13" dataDxfId="55"/>
    <tableColumn id="43" xr3:uid="{A043A4CB-0FFA-436A-B77D-C60C383CA1B7}" name="Sonowangi14" dataDxfId="54"/>
    <tableColumn id="44" xr3:uid="{C3F7B005-789B-4EB1-A412-E209E388323B}" name="Jumlah15" dataDxfId="53">
      <calculatedColumnFormula>SUM(BE2:BQ2)</calculatedColumnFormula>
    </tableColumn>
    <tableColumn id="45" xr3:uid="{9D7D131F-1FB6-43C8-950F-DC4B5DA483E2}" name="Lebakharjo22" dataDxfId="52"/>
    <tableColumn id="46" xr3:uid="{AB9D6B7E-D4C3-44E2-AEA3-0F60D5C39402}" name="Wirotaman33" dataDxfId="51"/>
    <tableColumn id="47" xr3:uid="{9A23AD46-DE06-4B54-9642-84BA467663E9}" name="Tamanasri44" dataDxfId="50"/>
    <tableColumn id="48" xr3:uid="{EDA0FD30-3373-4220-B51B-EB6399AEBEFB}" name="Tirtomarto55" dataDxfId="49"/>
    <tableColumn id="49" xr3:uid="{A953C582-4DAF-42CD-86E1-D7964012C00D}" name="Purwoharjo66" dataDxfId="48"/>
    <tableColumn id="50" xr3:uid="{EF271B95-79A8-4F8E-8A6E-1332770CA672}" name="Sidorenggo77" dataDxfId="47"/>
    <tableColumn id="51" xr3:uid="{0F0770B8-E61C-44D8-8A52-E434A40F4A74}" name="Tirtomoyo88" dataDxfId="46"/>
    <tableColumn id="52" xr3:uid="{C9C4AD42-8C35-4437-8D28-EB8440064694}" name="Argoyuwono99" dataDxfId="45"/>
    <tableColumn id="53" xr3:uid="{F8AA8B8C-FEED-40AA-A409-335E3726FC53}" name="Mulyoasri1010" dataDxfId="44"/>
    <tableColumn id="54" xr3:uid="{9B6B459D-E548-4BE5-83B3-FF2E6060BF41}" name="Tawangagung1111" dataDxfId="43"/>
    <tableColumn id="55" xr3:uid="{2CCAA395-60EA-48DE-8E1B-B8659FFD0A10}" name="Simojayan1212" dataDxfId="42"/>
    <tableColumn id="56" xr3:uid="{84E2F479-6E33-4280-9E8B-E716AF912C03}" name="Tamansari1313" dataDxfId="41"/>
    <tableColumn id="57" xr3:uid="{CCBB8F6A-1974-4424-B43A-D1E4061CAFE5}" name="Sonowangi1414" dataDxfId="40"/>
    <tableColumn id="58" xr3:uid="{DEA8614C-A47B-4BC7-826E-1E22CEC8FD77}" name="Jumlah1515" dataDxfId="39">
      <calculatedColumnFormula>SUM(BS2:CE2)</calculatedColumnFormula>
    </tableColumn>
    <tableColumn id="59" xr3:uid="{9E8402ED-8712-4FE3-B7A8-452B50C8B9FF}" name="Lebakharjo222" dataDxfId="38"/>
    <tableColumn id="60" xr3:uid="{763A4BD5-574A-48C9-A147-30F705B61DF9}" name="Wirotaman333" dataDxfId="37"/>
    <tableColumn id="61" xr3:uid="{F6C47A36-B606-48DF-B980-99F5352A03B9}" name="Tamanasri444" dataDxfId="36"/>
    <tableColumn id="62" xr3:uid="{1C961FD3-D1A3-4BA0-9134-84279AF51364}" name="Tirtomarto555" dataDxfId="35"/>
    <tableColumn id="63" xr3:uid="{A59ECD6C-883E-4543-AF37-6F3848E458AB}" name="Purwoharjo666" dataDxfId="34"/>
    <tableColumn id="64" xr3:uid="{3B4B2B84-E8CC-4763-B058-634F6C106C96}" name="Sidorenggo777" dataDxfId="33"/>
    <tableColumn id="65" xr3:uid="{387FD095-7B99-4E6A-AF8F-93F3A2413F9D}" name="Tirtomoyo888" dataDxfId="32"/>
    <tableColumn id="66" xr3:uid="{EFDC23DF-056E-4158-BB1E-FB4EA471A28D}" name="Argoyuwono999" dataDxfId="31"/>
    <tableColumn id="67" xr3:uid="{095A3A9E-AACC-4F69-9ADF-946ED7F7D782}" name="Mulyoasri101010" dataDxfId="30"/>
    <tableColumn id="68" xr3:uid="{606FF252-14A1-499C-BA45-F837F1D81668}" name="Tawangagung111111" dataDxfId="29"/>
    <tableColumn id="69" xr3:uid="{A58C3C95-7EBC-49CC-8544-F20109238653}" name="Simojayan121212" dataDxfId="28"/>
    <tableColumn id="70" xr3:uid="{C6173772-F4BA-41E2-992B-98A1F460F1F2}" name="Tamansari131313" dataDxfId="27"/>
    <tableColumn id="71" xr3:uid="{0381F8B8-7766-41EB-93ED-9C24AAA744C5}" name="Sonowangi141414" dataDxfId="26"/>
    <tableColumn id="72" xr3:uid="{1F3ECCF9-50E1-481D-BF45-03F128BADCB2}" name="Jumlah151515" dataDxfId="25">
      <calculatedColumnFormula>SUM(CG2:CS2)</calculatedColumnFormula>
    </tableColumn>
    <tableColumn id="73" xr3:uid="{37FA37FE-E3A7-49F2-A011-937BB44275DE}" name="Lebakharjo2222" dataDxfId="24"/>
    <tableColumn id="74" xr3:uid="{3410FA86-CA7A-4F1E-A700-A5FB54B7E23E}" name="Wirotaman3333" dataDxfId="23"/>
    <tableColumn id="75" xr3:uid="{3BBA2C6F-E8CD-4598-BBD9-35E94970C981}" name="Tamanasri4444" dataDxfId="22"/>
    <tableColumn id="76" xr3:uid="{0FF3E09B-0FE6-4495-9D93-1D4387353C14}" name="Tirtomarto5555" dataDxfId="21"/>
    <tableColumn id="77" xr3:uid="{85A72353-CB16-4283-8EDA-CD8DE1C7B0D8}" name="Purwoharjo6666" dataDxfId="20"/>
    <tableColumn id="78" xr3:uid="{5054FB85-C13A-43E7-9A3E-DF11F43C8575}" name="Sidorenggo7777" dataDxfId="19"/>
    <tableColumn id="79" xr3:uid="{85443B10-7A3F-418B-976D-04E3872F1695}" name="Tirtomoyo8888" dataDxfId="18"/>
    <tableColumn id="80" xr3:uid="{0696E76C-5F16-4980-8E3F-97BFBE1B616D}" name="Argoyuwono9999" dataDxfId="17"/>
    <tableColumn id="81" xr3:uid="{2306DC31-9986-4443-9395-27F9AF4F3B75}" name="Mulyoasri10101010" dataDxfId="16"/>
    <tableColumn id="82" xr3:uid="{ED5E9910-7252-43A5-9B76-914F25707F74}" name="Tawangagung11111111" dataDxfId="15"/>
    <tableColumn id="83" xr3:uid="{F9460D94-4F97-48AE-AA41-5A385F1CD28D}" name="Simojayan12121212" dataDxfId="14"/>
    <tableColumn id="84" xr3:uid="{E73C478F-73D3-406E-A96C-AD42F05DDE19}" name="Tamansari13131313" dataDxfId="13"/>
    <tableColumn id="85" xr3:uid="{33DD283D-EF7F-4F96-9402-E57245619321}" name="Sonowangi14141414" dataDxfId="12"/>
    <tableColumn id="86" xr3:uid="{CF363E22-5FE4-46DF-9BC2-2F6F80DE8FF3}" name="Jumlah15151515" dataDxfId="11"/>
    <tableColumn id="87" xr3:uid="{D383ADA3-E0E1-4E10-9C0B-47469B0B5A77}" name="Jumlah Lahan" dataDxfId="10">
      <calculatedColumnFormula>SUM(BR2,CF2)</calculatedColumnFormula>
    </tableColumn>
    <tableColumn id="88" xr3:uid="{6F3F5CA4-FE04-429D-806B-4BF1E4DCD9B0}" name="Lahan Produktif" dataDxfId="9">
      <calculatedColumnFormula>BR2/DI2</calculatedColumnFormula>
    </tableColumn>
    <tableColumn id="89" xr3:uid="{8B11C07B-75E4-4F19-8D0E-F88E5269EC9B}" name="Lahan Tidak Produktif" dataDxfId="8">
      <calculatedColumnFormula>CF2/DI2</calculatedColumnFormula>
    </tableColumn>
    <tableColumn id="90" xr3:uid="{2F73FB38-0A9D-452D-94DA-7412FDDF5710}" name="Jumlah Lahan Produktif" dataDxfId="7">
      <calculatedColumnFormula>BR2</calculatedColumnFormula>
    </tableColumn>
    <tableColumn id="91" xr3:uid="{E82C646D-1B3F-49FA-B92F-9918FA241926}" name="Jumlah Lahan tidak Produktif" dataDxfId="6">
      <calculatedColumnFormula>CF2</calculatedColumnFormula>
    </tableColumn>
    <tableColumn id="92" xr3:uid="{72A92BC5-04D6-4999-8EC9-203C2C8039E8}" name="Usia 0-11" dataDxfId="5"/>
    <tableColumn id="93" xr3:uid="{F630D222-47D9-4F5E-8455-E4E1EBD0D7B0}" name="Usia 12-25" dataDxfId="4"/>
    <tableColumn id="94" xr3:uid="{9FCB3A4D-0A8C-4497-AF34-8FB7FC7A83CF}" name="Usia 26-45" dataDxfId="3"/>
    <tableColumn id="95" xr3:uid="{56F2B4C9-7412-4313-9215-C751CB14C638}" name="Usia 46-65" dataDxfId="2"/>
    <tableColumn id="96" xr3:uid="{B958ED2E-C8AE-49F6-8ED0-BEFA5B3EE447}" name="Diatas 65" dataDxfId="1"/>
    <tableColumn id="97" xr3:uid="{0FFBE856-F258-4C16-A7A9-AE031D869956}" name="Tot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2.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24.xml"/><Relationship Id="rId13" Type="http://schemas.openxmlformats.org/officeDocument/2006/relationships/pivotTable" Target="../pivotTables/pivotTable29.xml"/><Relationship Id="rId3" Type="http://schemas.openxmlformats.org/officeDocument/2006/relationships/pivotTable" Target="../pivotTables/pivotTable19.xml"/><Relationship Id="rId7" Type="http://schemas.openxmlformats.org/officeDocument/2006/relationships/pivotTable" Target="../pivotTables/pivotTable23.xml"/><Relationship Id="rId12" Type="http://schemas.openxmlformats.org/officeDocument/2006/relationships/pivotTable" Target="../pivotTables/pivotTable28.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11" Type="http://schemas.openxmlformats.org/officeDocument/2006/relationships/pivotTable" Target="../pivotTables/pivotTable27.xml"/><Relationship Id="rId5" Type="http://schemas.openxmlformats.org/officeDocument/2006/relationships/pivotTable" Target="../pivotTables/pivotTable21.xml"/><Relationship Id="rId10" Type="http://schemas.openxmlformats.org/officeDocument/2006/relationships/pivotTable" Target="../pivotTables/pivotTable26.xml"/><Relationship Id="rId4" Type="http://schemas.openxmlformats.org/officeDocument/2006/relationships/pivotTable" Target="../pivotTables/pivotTable20.xml"/><Relationship Id="rId9" Type="http://schemas.openxmlformats.org/officeDocument/2006/relationships/pivotTable" Target="../pivotTables/pivotTable25.xml"/><Relationship Id="rId14" Type="http://schemas.openxmlformats.org/officeDocument/2006/relationships/pivotTable" Target="../pivotTables/pivotTable30.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D5FE4-BCC8-4CF4-8A0C-2A15CCB7ED30}">
  <dimension ref="B1:DS9"/>
  <sheetViews>
    <sheetView zoomScale="70" zoomScaleNormal="70" workbookViewId="0"/>
  </sheetViews>
  <sheetFormatPr defaultColWidth="18.7109375" defaultRowHeight="12.75" x14ac:dyDescent="0.2"/>
  <cols>
    <col min="1" max="1" width="6.28515625" style="12" customWidth="1"/>
    <col min="2" max="2" width="8.140625" style="12" customWidth="1"/>
    <col min="3" max="3" width="18.7109375" style="56"/>
    <col min="4" max="4" width="23.5703125" style="12" customWidth="1"/>
    <col min="5" max="5" width="25" style="12" customWidth="1"/>
    <col min="6" max="6" width="23.42578125" style="12" customWidth="1"/>
    <col min="7" max="7" width="25.140625" style="12" customWidth="1"/>
    <col min="8" max="8" width="18.85546875" style="12" customWidth="1"/>
    <col min="9" max="9" width="20.28515625" style="12" customWidth="1"/>
    <col min="10" max="10" width="21" style="12" customWidth="1"/>
    <col min="11" max="11" width="20.42578125" style="12" customWidth="1"/>
    <col min="12" max="12" width="20.85546875" style="12" customWidth="1"/>
    <col min="13" max="13" width="27.85546875" style="12" customWidth="1"/>
    <col min="14" max="14" width="29.140625" style="12" customWidth="1"/>
    <col min="15" max="15" width="37.5703125" style="12" customWidth="1"/>
    <col min="16" max="16" width="38.85546875" style="12" customWidth="1"/>
    <col min="17" max="17" width="35.85546875" style="12" customWidth="1"/>
    <col min="18" max="18" width="37.140625" style="12" customWidth="1"/>
    <col min="19" max="19" width="28.28515625" style="12" customWidth="1"/>
    <col min="20" max="20" width="29.5703125" style="12" customWidth="1"/>
    <col min="21" max="21" width="29.42578125" style="12" customWidth="1"/>
    <col min="22" max="22" width="30.7109375" style="12" customWidth="1"/>
    <col min="23" max="23" width="31.5703125" style="12" customWidth="1"/>
    <col min="24" max="24" width="32.85546875" style="12" customWidth="1"/>
    <col min="25" max="25" width="51.42578125" style="12" customWidth="1"/>
    <col min="26" max="26" width="49.5703125" style="12" customWidth="1"/>
    <col min="27" max="27" width="19.5703125" style="12" customWidth="1"/>
    <col min="28" max="28" width="22.7109375" style="12" customWidth="1"/>
    <col min="29" max="29" width="18.7109375" style="12"/>
    <col min="30" max="30" width="22.7109375" style="12" customWidth="1"/>
    <col min="31" max="31" width="21" style="12" customWidth="1"/>
    <col min="32" max="32" width="23.5703125" style="12" customWidth="1"/>
    <col min="33" max="37" width="18.7109375" style="12"/>
    <col min="38" max="38" width="34.5703125" style="12" customWidth="1"/>
    <col min="39" max="39" width="37.28515625" style="12" customWidth="1"/>
    <col min="40" max="40" width="40.140625" style="12" customWidth="1"/>
    <col min="41" max="41" width="44.140625" style="12" customWidth="1"/>
    <col min="42" max="42" width="46.42578125" style="12" customWidth="1"/>
    <col min="43" max="16384" width="18.7109375" style="12"/>
  </cols>
  <sheetData>
    <row r="1" spans="2:123" x14ac:dyDescent="0.2">
      <c r="B1" s="13" t="s">
        <v>1</v>
      </c>
      <c r="C1" s="14" t="s">
        <v>0</v>
      </c>
      <c r="D1" s="15" t="s">
        <v>21</v>
      </c>
      <c r="E1" s="16" t="s">
        <v>63</v>
      </c>
      <c r="F1" s="16" t="s">
        <v>27</v>
      </c>
      <c r="G1" s="17" t="s">
        <v>28</v>
      </c>
      <c r="H1" s="15" t="s">
        <v>29</v>
      </c>
      <c r="I1" s="16" t="s">
        <v>30</v>
      </c>
      <c r="J1" s="16" t="s">
        <v>31</v>
      </c>
      <c r="K1" s="16" t="s">
        <v>32</v>
      </c>
      <c r="L1" s="17" t="s">
        <v>33</v>
      </c>
      <c r="M1" s="15" t="s">
        <v>41</v>
      </c>
      <c r="N1" s="16" t="s">
        <v>42</v>
      </c>
      <c r="O1" s="16" t="s">
        <v>43</v>
      </c>
      <c r="P1" s="16" t="s">
        <v>44</v>
      </c>
      <c r="Q1" s="16" t="s">
        <v>45</v>
      </c>
      <c r="R1" s="16" t="s">
        <v>46</v>
      </c>
      <c r="S1" s="16" t="s">
        <v>47</v>
      </c>
      <c r="T1" s="16" t="s">
        <v>48</v>
      </c>
      <c r="U1" s="16" t="s">
        <v>49</v>
      </c>
      <c r="V1" s="16" t="s">
        <v>50</v>
      </c>
      <c r="W1" s="16" t="s">
        <v>51</v>
      </c>
      <c r="X1" s="16" t="s">
        <v>52</v>
      </c>
      <c r="Y1" s="16" t="s">
        <v>53</v>
      </c>
      <c r="Z1" s="17" t="s">
        <v>54</v>
      </c>
      <c r="AA1" s="15" t="s">
        <v>34</v>
      </c>
      <c r="AB1" s="16" t="s">
        <v>35</v>
      </c>
      <c r="AC1" s="16" t="s">
        <v>36</v>
      </c>
      <c r="AD1" s="16" t="s">
        <v>37</v>
      </c>
      <c r="AE1" s="16" t="s">
        <v>38</v>
      </c>
      <c r="AF1" s="16" t="s">
        <v>39</v>
      </c>
      <c r="AG1" s="16" t="s">
        <v>40</v>
      </c>
      <c r="AH1" s="16" t="s">
        <v>2</v>
      </c>
      <c r="AI1" s="16" t="s">
        <v>3</v>
      </c>
      <c r="AJ1" s="16" t="s">
        <v>4</v>
      </c>
      <c r="AK1" s="16" t="s">
        <v>5</v>
      </c>
      <c r="AL1" s="16" t="s">
        <v>22</v>
      </c>
      <c r="AM1" s="16" t="s">
        <v>23</v>
      </c>
      <c r="AN1" s="16" t="s">
        <v>24</v>
      </c>
      <c r="AO1" s="16" t="s">
        <v>25</v>
      </c>
      <c r="AP1" s="16" t="s">
        <v>26</v>
      </c>
      <c r="AQ1" s="16" t="s">
        <v>7</v>
      </c>
      <c r="AR1" s="16" t="s">
        <v>8</v>
      </c>
      <c r="AS1" s="16" t="s">
        <v>9</v>
      </c>
      <c r="AT1" s="16" t="s">
        <v>10</v>
      </c>
      <c r="AU1" s="16" t="s">
        <v>11</v>
      </c>
      <c r="AV1" s="16" t="s">
        <v>12</v>
      </c>
      <c r="AW1" s="16" t="s">
        <v>13</v>
      </c>
      <c r="AX1" s="16" t="s">
        <v>14</v>
      </c>
      <c r="AY1" s="16" t="s">
        <v>15</v>
      </c>
      <c r="AZ1" s="16" t="s">
        <v>16</v>
      </c>
      <c r="BA1" s="16" t="s">
        <v>17</v>
      </c>
      <c r="BB1" s="16" t="s">
        <v>18</v>
      </c>
      <c r="BC1" s="16" t="s">
        <v>19</v>
      </c>
      <c r="BD1" s="16" t="s">
        <v>6</v>
      </c>
      <c r="BE1" s="16" t="s">
        <v>98</v>
      </c>
      <c r="BF1" s="16" t="s">
        <v>99</v>
      </c>
      <c r="BG1" s="16" t="s">
        <v>100</v>
      </c>
      <c r="BH1" s="16" t="s">
        <v>101</v>
      </c>
      <c r="BI1" s="16" t="s">
        <v>102</v>
      </c>
      <c r="BJ1" s="16" t="s">
        <v>103</v>
      </c>
      <c r="BK1" s="16" t="s">
        <v>104</v>
      </c>
      <c r="BL1" s="16" t="s">
        <v>105</v>
      </c>
      <c r="BM1" s="16" t="s">
        <v>106</v>
      </c>
      <c r="BN1" s="16" t="s">
        <v>107</v>
      </c>
      <c r="BO1" s="16" t="s">
        <v>108</v>
      </c>
      <c r="BP1" s="16" t="s">
        <v>109</v>
      </c>
      <c r="BQ1" s="16" t="s">
        <v>110</v>
      </c>
      <c r="BR1" s="16" t="s">
        <v>111</v>
      </c>
      <c r="BS1" s="16" t="s">
        <v>112</v>
      </c>
      <c r="BT1" s="16" t="s">
        <v>113</v>
      </c>
      <c r="BU1" s="16" t="s">
        <v>114</v>
      </c>
      <c r="BV1" s="16" t="s">
        <v>115</v>
      </c>
      <c r="BW1" s="16" t="s">
        <v>116</v>
      </c>
      <c r="BX1" s="16" t="s">
        <v>117</v>
      </c>
      <c r="BY1" s="16" t="s">
        <v>118</v>
      </c>
      <c r="BZ1" s="16" t="s">
        <v>119</v>
      </c>
      <c r="CA1" s="16" t="s">
        <v>120</v>
      </c>
      <c r="CB1" s="16" t="s">
        <v>121</v>
      </c>
      <c r="CC1" s="16" t="s">
        <v>122</v>
      </c>
      <c r="CD1" s="16" t="s">
        <v>123</v>
      </c>
      <c r="CE1" s="16" t="s">
        <v>124</v>
      </c>
      <c r="CF1" s="16" t="s">
        <v>125</v>
      </c>
      <c r="CG1" s="16" t="s">
        <v>126</v>
      </c>
      <c r="CH1" s="16" t="s">
        <v>127</v>
      </c>
      <c r="CI1" s="16" t="s">
        <v>128</v>
      </c>
      <c r="CJ1" s="16" t="s">
        <v>129</v>
      </c>
      <c r="CK1" s="16" t="s">
        <v>130</v>
      </c>
      <c r="CL1" s="16" t="s">
        <v>131</v>
      </c>
      <c r="CM1" s="16" t="s">
        <v>132</v>
      </c>
      <c r="CN1" s="16" t="s">
        <v>133</v>
      </c>
      <c r="CO1" s="16" t="s">
        <v>134</v>
      </c>
      <c r="CP1" s="16" t="s">
        <v>135</v>
      </c>
      <c r="CQ1" s="16" t="s">
        <v>136</v>
      </c>
      <c r="CR1" s="16" t="s">
        <v>137</v>
      </c>
      <c r="CS1" s="16" t="s">
        <v>138</v>
      </c>
      <c r="CT1" s="16" t="s">
        <v>139</v>
      </c>
      <c r="CU1" s="16" t="s">
        <v>194</v>
      </c>
      <c r="CV1" s="16" t="s">
        <v>195</v>
      </c>
      <c r="CW1" s="16" t="s">
        <v>196</v>
      </c>
      <c r="CX1" s="16" t="s">
        <v>197</v>
      </c>
      <c r="CY1" s="16" t="s">
        <v>198</v>
      </c>
      <c r="CZ1" s="16" t="s">
        <v>199</v>
      </c>
      <c r="DA1" s="16" t="s">
        <v>200</v>
      </c>
      <c r="DB1" s="16" t="s">
        <v>201</v>
      </c>
      <c r="DC1" s="16" t="s">
        <v>202</v>
      </c>
      <c r="DD1" s="16" t="s">
        <v>203</v>
      </c>
      <c r="DE1" s="16" t="s">
        <v>204</v>
      </c>
      <c r="DF1" s="16" t="s">
        <v>205</v>
      </c>
      <c r="DG1" s="16" t="s">
        <v>206</v>
      </c>
      <c r="DH1" s="16" t="s">
        <v>207</v>
      </c>
      <c r="DI1" s="16" t="s">
        <v>225</v>
      </c>
      <c r="DJ1" s="16" t="s">
        <v>226</v>
      </c>
      <c r="DK1" s="16" t="s">
        <v>227</v>
      </c>
      <c r="DL1" s="16" t="s">
        <v>228</v>
      </c>
      <c r="DM1" s="16" t="s">
        <v>229</v>
      </c>
      <c r="DN1" s="16" t="s">
        <v>230</v>
      </c>
      <c r="DO1" s="16" t="s">
        <v>231</v>
      </c>
      <c r="DP1" s="16" t="s">
        <v>232</v>
      </c>
      <c r="DQ1" s="16" t="s">
        <v>233</v>
      </c>
      <c r="DR1" s="16" t="s">
        <v>234</v>
      </c>
      <c r="DS1" s="16" t="s">
        <v>235</v>
      </c>
    </row>
    <row r="2" spans="2:123" x14ac:dyDescent="0.2">
      <c r="B2" s="18">
        <v>2018</v>
      </c>
      <c r="C2" s="19">
        <v>15022.77</v>
      </c>
      <c r="D2" s="20">
        <v>1</v>
      </c>
      <c r="E2" s="21">
        <v>0</v>
      </c>
      <c r="F2" s="21">
        <v>1</v>
      </c>
      <c r="G2" s="22">
        <v>0</v>
      </c>
      <c r="H2" s="20">
        <v>8</v>
      </c>
      <c r="I2" s="21">
        <v>2</v>
      </c>
      <c r="J2" s="21">
        <v>0</v>
      </c>
      <c r="K2" s="21">
        <v>1</v>
      </c>
      <c r="L2" s="22">
        <v>0</v>
      </c>
      <c r="M2" s="23">
        <v>57011</v>
      </c>
      <c r="N2" s="21">
        <v>368</v>
      </c>
      <c r="O2" s="24">
        <v>1841</v>
      </c>
      <c r="P2" s="21">
        <v>10</v>
      </c>
      <c r="Q2" s="24">
        <v>21</v>
      </c>
      <c r="R2" s="21">
        <v>0</v>
      </c>
      <c r="S2" s="24">
        <v>701</v>
      </c>
      <c r="T2" s="21">
        <v>4</v>
      </c>
      <c r="U2" s="24">
        <v>0</v>
      </c>
      <c r="V2" s="21">
        <v>0</v>
      </c>
      <c r="W2" s="21">
        <v>0</v>
      </c>
      <c r="X2" s="21">
        <v>0</v>
      </c>
      <c r="Y2" s="25">
        <v>0</v>
      </c>
      <c r="Z2" s="22">
        <v>0</v>
      </c>
      <c r="AA2" s="26">
        <v>12</v>
      </c>
      <c r="AB2" s="27">
        <v>0</v>
      </c>
      <c r="AC2" s="27">
        <v>34</v>
      </c>
      <c r="AD2" s="27">
        <v>2</v>
      </c>
      <c r="AE2" s="27">
        <v>6</v>
      </c>
      <c r="AF2" s="27">
        <v>0</v>
      </c>
      <c r="AG2" s="27">
        <v>4</v>
      </c>
      <c r="AH2" s="21">
        <v>13</v>
      </c>
      <c r="AI2" s="21">
        <v>39</v>
      </c>
      <c r="AJ2" s="21">
        <v>93</v>
      </c>
      <c r="AK2" s="21">
        <v>317</v>
      </c>
      <c r="AL2" s="21">
        <v>0</v>
      </c>
      <c r="AM2" s="21">
        <v>0</v>
      </c>
      <c r="AN2" s="21">
        <v>0</v>
      </c>
      <c r="AO2" s="21">
        <v>0</v>
      </c>
      <c r="AP2" s="22">
        <v>0</v>
      </c>
      <c r="AQ2" s="28">
        <v>3</v>
      </c>
      <c r="AR2" s="28">
        <v>10</v>
      </c>
      <c r="AS2" s="28">
        <v>7</v>
      </c>
      <c r="AT2" s="28">
        <v>11</v>
      </c>
      <c r="AU2" s="28">
        <v>12</v>
      </c>
      <c r="AV2" s="28">
        <v>3</v>
      </c>
      <c r="AW2" s="28">
        <v>4</v>
      </c>
      <c r="AX2" s="28">
        <v>8</v>
      </c>
      <c r="AY2" s="28">
        <v>7</v>
      </c>
      <c r="AZ2" s="28">
        <v>2</v>
      </c>
      <c r="BA2" s="28">
        <v>9</v>
      </c>
      <c r="BB2" s="28">
        <v>21</v>
      </c>
      <c r="BC2" s="28">
        <v>9</v>
      </c>
      <c r="BD2" s="29">
        <f>SUM(AQ2:BC2)</f>
        <v>106</v>
      </c>
      <c r="BE2" s="29">
        <v>802.16399999999999</v>
      </c>
      <c r="BF2" s="29">
        <v>706.75</v>
      </c>
      <c r="BG2" s="29">
        <v>280.7</v>
      </c>
      <c r="BH2" s="28">
        <v>354</v>
      </c>
      <c r="BI2" s="29">
        <v>142.82400000000001</v>
      </c>
      <c r="BJ2" s="28">
        <v>676</v>
      </c>
      <c r="BK2" s="29">
        <v>11440.4</v>
      </c>
      <c r="BL2" s="29">
        <v>554.91000000000008</v>
      </c>
      <c r="BM2" s="28">
        <v>1020</v>
      </c>
      <c r="BN2" s="29">
        <v>359.33</v>
      </c>
      <c r="BO2" s="28">
        <v>737</v>
      </c>
      <c r="BP2" s="29">
        <v>632.24</v>
      </c>
      <c r="BQ2" s="29" t="s">
        <v>20</v>
      </c>
      <c r="BR2" s="29">
        <f>SUM(BE2:BQ2)</f>
        <v>17706.318000000003</v>
      </c>
      <c r="BS2" s="28">
        <v>0</v>
      </c>
      <c r="BT2" s="30">
        <v>24.8</v>
      </c>
      <c r="BU2" s="28">
        <v>0</v>
      </c>
      <c r="BV2" s="28">
        <v>22</v>
      </c>
      <c r="BW2" s="29">
        <v>73.575999999999993</v>
      </c>
      <c r="BX2" s="28">
        <v>403</v>
      </c>
      <c r="BY2" s="28">
        <v>0</v>
      </c>
      <c r="BZ2" s="30">
        <v>53.099999999999994</v>
      </c>
      <c r="CA2" s="28">
        <v>0</v>
      </c>
      <c r="CB2" s="29">
        <v>52.67</v>
      </c>
      <c r="CC2" s="28">
        <v>0</v>
      </c>
      <c r="CD2" s="30">
        <v>420.1</v>
      </c>
      <c r="CE2" s="30">
        <v>172.6</v>
      </c>
      <c r="CF2" s="29">
        <f>SUM(BS2:CE2)</f>
        <v>1221.846</v>
      </c>
      <c r="CG2" s="31">
        <v>7</v>
      </c>
      <c r="CH2" s="31">
        <v>8</v>
      </c>
      <c r="CI2" s="31">
        <v>7</v>
      </c>
      <c r="CJ2" s="31">
        <v>8</v>
      </c>
      <c r="CK2" s="31">
        <v>7</v>
      </c>
      <c r="CL2" s="31">
        <v>9</v>
      </c>
      <c r="CM2" s="31">
        <v>6</v>
      </c>
      <c r="CN2" s="31">
        <v>6</v>
      </c>
      <c r="CO2" s="31">
        <v>7</v>
      </c>
      <c r="CP2" s="31">
        <v>9</v>
      </c>
      <c r="CQ2" s="31">
        <v>5</v>
      </c>
      <c r="CR2" s="31">
        <v>10</v>
      </c>
      <c r="CS2" s="31">
        <v>7</v>
      </c>
      <c r="CT2" s="31">
        <f>SUM(CG2:CS2)</f>
        <v>96</v>
      </c>
      <c r="CU2" s="31"/>
      <c r="CV2" s="31"/>
      <c r="CW2" s="31"/>
      <c r="CX2" s="31"/>
      <c r="CY2" s="31"/>
      <c r="CZ2" s="31"/>
      <c r="DA2" s="31"/>
      <c r="DB2" s="31"/>
      <c r="DC2" s="31"/>
      <c r="DD2" s="31"/>
      <c r="DE2" s="31"/>
      <c r="DF2" s="31"/>
      <c r="DG2" s="31"/>
      <c r="DH2" s="31"/>
      <c r="DI2" s="29">
        <f t="shared" ref="DI2:DI5" si="0">SUM(BR2,CF2)</f>
        <v>18928.164000000004</v>
      </c>
      <c r="DJ2" s="32">
        <f t="shared" ref="DJ2:DJ5" si="1">BR2/DI2</f>
        <v>0.93544825583717461</v>
      </c>
      <c r="DK2" s="32">
        <f t="shared" ref="DK2:DK5" si="2">CF2/DI2</f>
        <v>6.4551744162825289E-2</v>
      </c>
      <c r="DL2" s="33">
        <f t="shared" ref="DL2:DL5" si="3">BR2</f>
        <v>17706.318000000003</v>
      </c>
      <c r="DM2" s="33">
        <f t="shared" ref="DM2:DM5" si="4">CF2</f>
        <v>1221.846</v>
      </c>
      <c r="DN2" s="34"/>
      <c r="DO2" s="34"/>
      <c r="DP2" s="34"/>
      <c r="DQ2" s="34"/>
      <c r="DR2" s="34"/>
      <c r="DS2" s="34"/>
    </row>
    <row r="3" spans="2:123" x14ac:dyDescent="0.2">
      <c r="B3" s="18">
        <v>2019</v>
      </c>
      <c r="C3" s="19">
        <v>15022.77</v>
      </c>
      <c r="D3" s="20">
        <v>16</v>
      </c>
      <c r="E3" s="21">
        <v>6</v>
      </c>
      <c r="F3" s="21">
        <v>4</v>
      </c>
      <c r="G3" s="22">
        <v>0</v>
      </c>
      <c r="H3" s="20">
        <v>10</v>
      </c>
      <c r="I3" s="21">
        <v>4</v>
      </c>
      <c r="J3" s="21">
        <v>0</v>
      </c>
      <c r="K3" s="21">
        <v>1</v>
      </c>
      <c r="L3" s="22">
        <v>2</v>
      </c>
      <c r="M3" s="35">
        <v>56783</v>
      </c>
      <c r="N3" s="21">
        <v>311</v>
      </c>
      <c r="O3" s="25">
        <v>1672</v>
      </c>
      <c r="P3" s="21">
        <v>8</v>
      </c>
      <c r="Q3" s="25">
        <v>33</v>
      </c>
      <c r="R3" s="21">
        <v>1</v>
      </c>
      <c r="S3" s="25">
        <v>484</v>
      </c>
      <c r="T3" s="21">
        <v>4</v>
      </c>
      <c r="U3" s="25">
        <v>0</v>
      </c>
      <c r="V3" s="21">
        <v>0</v>
      </c>
      <c r="W3" s="21">
        <v>0</v>
      </c>
      <c r="X3" s="21">
        <v>0</v>
      </c>
      <c r="Y3" s="25">
        <v>9</v>
      </c>
      <c r="Z3" s="22">
        <v>1</v>
      </c>
      <c r="AA3" s="26">
        <v>15</v>
      </c>
      <c r="AB3" s="27">
        <v>1</v>
      </c>
      <c r="AC3" s="27">
        <v>29</v>
      </c>
      <c r="AD3" s="27">
        <v>2</v>
      </c>
      <c r="AE3" s="27">
        <v>6</v>
      </c>
      <c r="AF3" s="27">
        <v>0</v>
      </c>
      <c r="AG3" s="27">
        <v>0</v>
      </c>
      <c r="AH3" s="21">
        <v>13</v>
      </c>
      <c r="AI3" s="21">
        <v>39</v>
      </c>
      <c r="AJ3" s="21">
        <v>93</v>
      </c>
      <c r="AK3" s="21">
        <v>317</v>
      </c>
      <c r="AL3" s="21">
        <v>0</v>
      </c>
      <c r="AM3" s="21">
        <v>6</v>
      </c>
      <c r="AN3" s="21">
        <v>0</v>
      </c>
      <c r="AO3" s="21">
        <v>0</v>
      </c>
      <c r="AP3" s="22">
        <v>0</v>
      </c>
      <c r="AQ3" s="36">
        <v>3</v>
      </c>
      <c r="AR3" s="36">
        <v>10</v>
      </c>
      <c r="AS3" s="36">
        <v>7</v>
      </c>
      <c r="AT3" s="36">
        <v>11</v>
      </c>
      <c r="AU3" s="36">
        <v>12</v>
      </c>
      <c r="AV3" s="36">
        <v>3</v>
      </c>
      <c r="AW3" s="36">
        <v>4</v>
      </c>
      <c r="AX3" s="36">
        <v>8</v>
      </c>
      <c r="AY3" s="36">
        <v>7</v>
      </c>
      <c r="AZ3" s="36">
        <v>2</v>
      </c>
      <c r="BA3" s="36">
        <v>9</v>
      </c>
      <c r="BB3" s="36">
        <v>21</v>
      </c>
      <c r="BC3" s="36">
        <v>9</v>
      </c>
      <c r="BD3" s="37">
        <f>SUM(AQ3:BC3)</f>
        <v>106</v>
      </c>
      <c r="BE3" s="37">
        <v>802.16399999999999</v>
      </c>
      <c r="BF3" s="37">
        <v>706.75</v>
      </c>
      <c r="BG3" s="38">
        <v>280.7</v>
      </c>
      <c r="BH3" s="36">
        <v>354</v>
      </c>
      <c r="BI3" s="37">
        <v>140.66</v>
      </c>
      <c r="BJ3" s="37">
        <v>676</v>
      </c>
      <c r="BK3" s="37">
        <v>11440.4</v>
      </c>
      <c r="BL3" s="37">
        <v>554.91000000000008</v>
      </c>
      <c r="BM3" s="36">
        <v>1020</v>
      </c>
      <c r="BN3" s="37">
        <v>359.33</v>
      </c>
      <c r="BO3" s="37">
        <v>737</v>
      </c>
      <c r="BP3" s="37">
        <v>632.24</v>
      </c>
      <c r="BQ3" s="37">
        <v>500.4</v>
      </c>
      <c r="BR3" s="37">
        <f>SUM(BE3:BQ3)</f>
        <v>18204.554</v>
      </c>
      <c r="BS3" s="36">
        <v>0</v>
      </c>
      <c r="BT3" s="37">
        <v>24.8</v>
      </c>
      <c r="BU3" s="36">
        <v>0</v>
      </c>
      <c r="BV3" s="36">
        <v>22</v>
      </c>
      <c r="BW3" s="37">
        <v>75.739999999999995</v>
      </c>
      <c r="BX3" s="36">
        <v>403</v>
      </c>
      <c r="BY3" s="36">
        <v>0</v>
      </c>
      <c r="BZ3" s="37">
        <v>53.099999999999994</v>
      </c>
      <c r="CA3" s="36">
        <v>0</v>
      </c>
      <c r="CB3" s="37">
        <v>52.67</v>
      </c>
      <c r="CC3" s="36">
        <v>0</v>
      </c>
      <c r="CD3" s="37">
        <v>420.1</v>
      </c>
      <c r="CE3" s="37">
        <v>193.6</v>
      </c>
      <c r="CF3" s="37">
        <f>SUM(BS3:CE3)</f>
        <v>1245.0099999999998</v>
      </c>
      <c r="CG3" s="21">
        <v>6</v>
      </c>
      <c r="CH3" s="21">
        <v>10</v>
      </c>
      <c r="CI3" s="21">
        <v>7</v>
      </c>
      <c r="CJ3" s="21">
        <v>7</v>
      </c>
      <c r="CK3" s="21">
        <v>6</v>
      </c>
      <c r="CL3" s="21">
        <v>11</v>
      </c>
      <c r="CM3" s="21">
        <v>8</v>
      </c>
      <c r="CN3" s="21">
        <v>8</v>
      </c>
      <c r="CO3" s="21">
        <v>6</v>
      </c>
      <c r="CP3" s="21">
        <v>6</v>
      </c>
      <c r="CQ3" s="21">
        <v>6</v>
      </c>
      <c r="CR3" s="21">
        <v>7</v>
      </c>
      <c r="CS3" s="21">
        <v>7</v>
      </c>
      <c r="CT3" s="21">
        <f>SUM(CG3:CS3)</f>
        <v>95</v>
      </c>
      <c r="CU3" s="21"/>
      <c r="CV3" s="21"/>
      <c r="CW3" s="21"/>
      <c r="CX3" s="21"/>
      <c r="CY3" s="21"/>
      <c r="CZ3" s="21"/>
      <c r="DA3" s="21"/>
      <c r="DB3" s="21"/>
      <c r="DC3" s="21"/>
      <c r="DD3" s="21"/>
      <c r="DE3" s="21"/>
      <c r="DF3" s="21"/>
      <c r="DG3" s="21"/>
      <c r="DH3" s="21"/>
      <c r="DI3" s="37">
        <f t="shared" si="0"/>
        <v>19449.563999999998</v>
      </c>
      <c r="DJ3" s="39">
        <f t="shared" si="1"/>
        <v>0.93598776815768214</v>
      </c>
      <c r="DK3" s="39">
        <f t="shared" si="2"/>
        <v>6.4012231842317899E-2</v>
      </c>
      <c r="DL3" s="33">
        <f t="shared" si="3"/>
        <v>18204.554</v>
      </c>
      <c r="DM3" s="33">
        <f t="shared" si="4"/>
        <v>1245.0099999999998</v>
      </c>
      <c r="DN3" s="34"/>
      <c r="DO3" s="34"/>
      <c r="DP3" s="34"/>
      <c r="DQ3" s="34"/>
      <c r="DR3" s="34"/>
      <c r="DS3" s="34"/>
    </row>
    <row r="4" spans="2:123" x14ac:dyDescent="0.2">
      <c r="B4" s="18">
        <v>2020</v>
      </c>
      <c r="C4" s="19">
        <v>15022.77</v>
      </c>
      <c r="D4" s="20">
        <v>1</v>
      </c>
      <c r="E4" s="21">
        <v>4</v>
      </c>
      <c r="F4" s="21">
        <v>0</v>
      </c>
      <c r="G4" s="22">
        <v>0</v>
      </c>
      <c r="H4" s="20">
        <v>10</v>
      </c>
      <c r="I4" s="21">
        <v>4</v>
      </c>
      <c r="J4" s="21">
        <v>0</v>
      </c>
      <c r="K4" s="21">
        <v>1</v>
      </c>
      <c r="L4" s="22">
        <v>2</v>
      </c>
      <c r="M4" s="35">
        <v>57255</v>
      </c>
      <c r="N4" s="21">
        <v>311</v>
      </c>
      <c r="O4" s="25">
        <v>1849</v>
      </c>
      <c r="P4" s="21">
        <v>8</v>
      </c>
      <c r="Q4" s="25">
        <v>13</v>
      </c>
      <c r="R4" s="21">
        <v>1</v>
      </c>
      <c r="S4" s="25">
        <v>509</v>
      </c>
      <c r="T4" s="21">
        <v>4</v>
      </c>
      <c r="U4" s="25">
        <v>7</v>
      </c>
      <c r="V4" s="21">
        <v>0</v>
      </c>
      <c r="W4" s="21">
        <v>0</v>
      </c>
      <c r="X4" s="21">
        <v>0</v>
      </c>
      <c r="Y4" s="25">
        <v>9</v>
      </c>
      <c r="Z4" s="22">
        <v>1</v>
      </c>
      <c r="AA4" s="26">
        <v>15</v>
      </c>
      <c r="AB4" s="27">
        <v>1</v>
      </c>
      <c r="AC4" s="27">
        <v>29</v>
      </c>
      <c r="AD4" s="27">
        <v>2</v>
      </c>
      <c r="AE4" s="27">
        <v>6</v>
      </c>
      <c r="AF4" s="27">
        <v>0</v>
      </c>
      <c r="AG4" s="27">
        <v>0</v>
      </c>
      <c r="AH4" s="21">
        <v>13</v>
      </c>
      <c r="AI4" s="21">
        <v>39</v>
      </c>
      <c r="AJ4" s="21">
        <v>93</v>
      </c>
      <c r="AK4" s="21">
        <v>317</v>
      </c>
      <c r="AL4" s="21">
        <v>0</v>
      </c>
      <c r="AM4" s="21">
        <v>2</v>
      </c>
      <c r="AN4" s="21">
        <v>1</v>
      </c>
      <c r="AO4" s="21">
        <v>1</v>
      </c>
      <c r="AP4" s="22">
        <v>0</v>
      </c>
      <c r="AQ4" s="21">
        <v>7</v>
      </c>
      <c r="AR4" s="21">
        <v>5</v>
      </c>
      <c r="AS4" s="21">
        <v>7</v>
      </c>
      <c r="AT4" s="21">
        <v>0</v>
      </c>
      <c r="AU4" s="21">
        <v>4</v>
      </c>
      <c r="AV4" s="21">
        <v>0</v>
      </c>
      <c r="AW4" s="21">
        <v>6</v>
      </c>
      <c r="AX4" s="21">
        <v>9</v>
      </c>
      <c r="AY4" s="21">
        <v>9</v>
      </c>
      <c r="AZ4" s="21">
        <v>2</v>
      </c>
      <c r="BA4" s="21">
        <v>15</v>
      </c>
      <c r="BB4" s="21">
        <v>14</v>
      </c>
      <c r="BC4" s="21">
        <v>4</v>
      </c>
      <c r="BD4" s="37">
        <f>SUM(AQ4:BC4)</f>
        <v>82</v>
      </c>
      <c r="BE4" s="37">
        <v>802.16399999999999</v>
      </c>
      <c r="BF4" s="37">
        <v>706.75</v>
      </c>
      <c r="BG4" s="38">
        <v>280.7</v>
      </c>
      <c r="BH4" s="36">
        <v>354</v>
      </c>
      <c r="BI4" s="37">
        <v>140.66</v>
      </c>
      <c r="BJ4" s="37">
        <v>676</v>
      </c>
      <c r="BK4" s="37">
        <v>11440.4</v>
      </c>
      <c r="BL4" s="37">
        <v>554.91000000000008</v>
      </c>
      <c r="BM4" s="36">
        <v>1020</v>
      </c>
      <c r="BN4" s="37">
        <v>359.33</v>
      </c>
      <c r="BO4" s="37">
        <v>737</v>
      </c>
      <c r="BP4" s="37">
        <v>632.24</v>
      </c>
      <c r="BQ4" s="37">
        <v>500.4</v>
      </c>
      <c r="BR4" s="37">
        <f>SUM(BE4:BQ4)</f>
        <v>18204.554</v>
      </c>
      <c r="BS4" s="36">
        <v>0</v>
      </c>
      <c r="BT4" s="37">
        <v>24.8</v>
      </c>
      <c r="BU4" s="36">
        <v>0</v>
      </c>
      <c r="BV4" s="36">
        <v>22</v>
      </c>
      <c r="BW4" s="37">
        <v>75.739999999999995</v>
      </c>
      <c r="BX4" s="36">
        <v>403</v>
      </c>
      <c r="BY4" s="36">
        <v>0</v>
      </c>
      <c r="BZ4" s="37">
        <v>53.099999999999994</v>
      </c>
      <c r="CA4" s="36">
        <v>0</v>
      </c>
      <c r="CB4" s="37">
        <v>52.67</v>
      </c>
      <c r="CC4" s="36">
        <v>0</v>
      </c>
      <c r="CD4" s="37">
        <v>420.1</v>
      </c>
      <c r="CE4" s="37">
        <v>193.6</v>
      </c>
      <c r="CF4" s="37">
        <f>SUM(BS4:CE4)</f>
        <v>1245.0099999999998</v>
      </c>
      <c r="CG4" s="21">
        <v>5</v>
      </c>
      <c r="CH4" s="21">
        <v>7</v>
      </c>
      <c r="CI4" s="21">
        <v>6</v>
      </c>
      <c r="CJ4" s="21">
        <v>8</v>
      </c>
      <c r="CK4" s="21">
        <v>7</v>
      </c>
      <c r="CL4" s="21">
        <v>6</v>
      </c>
      <c r="CM4" s="21">
        <v>9</v>
      </c>
      <c r="CN4" s="21">
        <v>7</v>
      </c>
      <c r="CO4" s="21">
        <v>8</v>
      </c>
      <c r="CP4" s="21">
        <v>6</v>
      </c>
      <c r="CQ4" s="21">
        <v>6</v>
      </c>
      <c r="CR4" s="21">
        <v>6</v>
      </c>
      <c r="CS4" s="21">
        <v>7</v>
      </c>
      <c r="CT4" s="21">
        <f>SUM(CG4:CS4)</f>
        <v>88</v>
      </c>
      <c r="CU4" s="40">
        <v>54</v>
      </c>
      <c r="CV4" s="40">
        <v>38</v>
      </c>
      <c r="CW4" s="40">
        <v>44</v>
      </c>
      <c r="CX4" s="40">
        <v>45</v>
      </c>
      <c r="CY4" s="40">
        <v>10</v>
      </c>
      <c r="CZ4" s="40">
        <v>56</v>
      </c>
      <c r="DA4" s="40">
        <v>44</v>
      </c>
      <c r="DB4" s="40">
        <v>25</v>
      </c>
      <c r="DC4" s="40">
        <v>46</v>
      </c>
      <c r="DD4" s="40">
        <v>31</v>
      </c>
      <c r="DE4" s="40">
        <v>23</v>
      </c>
      <c r="DF4" s="40">
        <v>14</v>
      </c>
      <c r="DG4" s="40">
        <v>34</v>
      </c>
      <c r="DH4" s="40">
        <v>464</v>
      </c>
      <c r="DI4" s="37">
        <f t="shared" si="0"/>
        <v>19449.563999999998</v>
      </c>
      <c r="DJ4" s="39">
        <f t="shared" si="1"/>
        <v>0.93598776815768214</v>
      </c>
      <c r="DK4" s="39">
        <f t="shared" si="2"/>
        <v>6.4012231842317899E-2</v>
      </c>
      <c r="DL4" s="33">
        <f t="shared" si="3"/>
        <v>18204.554</v>
      </c>
      <c r="DM4" s="33">
        <f t="shared" si="4"/>
        <v>1245.0099999999998</v>
      </c>
      <c r="DN4" s="41" t="e">
        <f>#REF!</f>
        <v>#REF!</v>
      </c>
      <c r="DO4" s="34">
        <v>37</v>
      </c>
      <c r="DP4" s="34">
        <v>32</v>
      </c>
      <c r="DQ4" s="34">
        <v>109</v>
      </c>
      <c r="DR4" s="34">
        <v>243</v>
      </c>
      <c r="DS4" s="34">
        <v>464</v>
      </c>
    </row>
    <row r="5" spans="2:123" x14ac:dyDescent="0.2">
      <c r="B5" s="42">
        <v>2021</v>
      </c>
      <c r="C5" s="43">
        <v>15022.77</v>
      </c>
      <c r="D5" s="44">
        <v>0</v>
      </c>
      <c r="E5" s="45">
        <v>0</v>
      </c>
      <c r="F5" s="45">
        <v>0</v>
      </c>
      <c r="G5" s="46">
        <v>0</v>
      </c>
      <c r="H5" s="44">
        <v>11</v>
      </c>
      <c r="I5" s="45">
        <v>4</v>
      </c>
      <c r="J5" s="45">
        <v>0</v>
      </c>
      <c r="K5" s="45">
        <v>1</v>
      </c>
      <c r="L5" s="46">
        <v>2</v>
      </c>
      <c r="M5" s="47">
        <f>57255-300</f>
        <v>56955</v>
      </c>
      <c r="N5" s="45">
        <v>311</v>
      </c>
      <c r="O5" s="48">
        <v>1629</v>
      </c>
      <c r="P5" s="45">
        <v>8</v>
      </c>
      <c r="Q5" s="48">
        <v>23</v>
      </c>
      <c r="R5" s="45">
        <v>1</v>
      </c>
      <c r="S5" s="48">
        <v>512</v>
      </c>
      <c r="T5" s="45">
        <v>4</v>
      </c>
      <c r="U5" s="48">
        <v>21</v>
      </c>
      <c r="V5" s="49">
        <v>0</v>
      </c>
      <c r="W5" s="49">
        <v>0</v>
      </c>
      <c r="X5" s="49">
        <v>0</v>
      </c>
      <c r="Y5" s="48">
        <v>15</v>
      </c>
      <c r="Z5" s="50">
        <v>1</v>
      </c>
      <c r="AA5" s="51">
        <v>15</v>
      </c>
      <c r="AB5" s="49">
        <v>1</v>
      </c>
      <c r="AC5" s="49">
        <v>48</v>
      </c>
      <c r="AD5" s="49">
        <v>2</v>
      </c>
      <c r="AE5" s="49">
        <v>6</v>
      </c>
      <c r="AF5" s="49">
        <v>0</v>
      </c>
      <c r="AG5" s="49">
        <v>0</v>
      </c>
      <c r="AH5" s="45">
        <v>13</v>
      </c>
      <c r="AI5" s="45">
        <v>39</v>
      </c>
      <c r="AJ5" s="45">
        <v>93</v>
      </c>
      <c r="AK5" s="45">
        <v>317</v>
      </c>
      <c r="AL5" s="45">
        <v>0</v>
      </c>
      <c r="AM5" s="45">
        <v>0</v>
      </c>
      <c r="AN5" s="45">
        <v>0</v>
      </c>
      <c r="AO5" s="45">
        <v>0</v>
      </c>
      <c r="AP5" s="46">
        <v>0</v>
      </c>
      <c r="AQ5" s="45">
        <v>7</v>
      </c>
      <c r="AR5" s="45">
        <v>5</v>
      </c>
      <c r="AS5" s="45">
        <v>7</v>
      </c>
      <c r="AT5" s="45">
        <v>0</v>
      </c>
      <c r="AU5" s="45">
        <v>4</v>
      </c>
      <c r="AV5" s="45">
        <v>0</v>
      </c>
      <c r="AW5" s="45">
        <v>6</v>
      </c>
      <c r="AX5" s="45">
        <v>9</v>
      </c>
      <c r="AY5" s="45">
        <v>9</v>
      </c>
      <c r="AZ5" s="45">
        <v>2</v>
      </c>
      <c r="BA5" s="45">
        <v>15</v>
      </c>
      <c r="BB5" s="45">
        <v>14</v>
      </c>
      <c r="BC5" s="45">
        <v>4</v>
      </c>
      <c r="BD5" s="52">
        <f>SUM(AQ5:BC5)</f>
        <v>82</v>
      </c>
      <c r="BE5" s="52">
        <v>802.16399999999999</v>
      </c>
      <c r="BF5" s="52">
        <v>706.75</v>
      </c>
      <c r="BG5" s="53">
        <v>280.7</v>
      </c>
      <c r="BH5" s="54">
        <v>354</v>
      </c>
      <c r="BI5" s="52">
        <v>140.66</v>
      </c>
      <c r="BJ5" s="52">
        <v>676</v>
      </c>
      <c r="BK5" s="52">
        <v>11440.4</v>
      </c>
      <c r="BL5" s="52">
        <v>554.91000000000008</v>
      </c>
      <c r="BM5" s="54">
        <v>1020</v>
      </c>
      <c r="BN5" s="52">
        <v>359.33</v>
      </c>
      <c r="BO5" s="52">
        <v>737</v>
      </c>
      <c r="BP5" s="52">
        <v>632.24</v>
      </c>
      <c r="BQ5" s="52">
        <v>500.4</v>
      </c>
      <c r="BR5" s="52">
        <f>SUM(BE5:BQ5)</f>
        <v>18204.554</v>
      </c>
      <c r="BS5" s="54">
        <v>0</v>
      </c>
      <c r="BT5" s="52">
        <v>24.8</v>
      </c>
      <c r="BU5" s="54">
        <v>0</v>
      </c>
      <c r="BV5" s="54">
        <v>22</v>
      </c>
      <c r="BW5" s="52">
        <v>75.739999999999995</v>
      </c>
      <c r="BX5" s="54">
        <v>403</v>
      </c>
      <c r="BY5" s="54">
        <v>0</v>
      </c>
      <c r="BZ5" s="52">
        <v>53.099999999999994</v>
      </c>
      <c r="CA5" s="54">
        <v>0</v>
      </c>
      <c r="CB5" s="52">
        <v>52.67</v>
      </c>
      <c r="CC5" s="54">
        <v>0</v>
      </c>
      <c r="CD5" s="52">
        <v>420.1</v>
      </c>
      <c r="CE5" s="52">
        <v>193.6</v>
      </c>
      <c r="CF5" s="52">
        <f>SUM(BS5:CE5)</f>
        <v>1245.0099999999998</v>
      </c>
      <c r="CG5" s="45">
        <v>3</v>
      </c>
      <c r="CH5" s="45">
        <v>5</v>
      </c>
      <c r="CI5" s="45">
        <v>3</v>
      </c>
      <c r="CJ5" s="45">
        <v>4</v>
      </c>
      <c r="CK5" s="45">
        <v>4</v>
      </c>
      <c r="CL5" s="45">
        <v>3</v>
      </c>
      <c r="CM5" s="45">
        <v>5</v>
      </c>
      <c r="CN5" s="45">
        <v>3</v>
      </c>
      <c r="CO5" s="45">
        <v>4</v>
      </c>
      <c r="CP5" s="45">
        <v>4</v>
      </c>
      <c r="CQ5" s="45">
        <v>3</v>
      </c>
      <c r="CR5" s="45">
        <v>4</v>
      </c>
      <c r="CS5" s="45">
        <v>4</v>
      </c>
      <c r="CT5" s="45">
        <f>SUM(CG5:CS5)</f>
        <v>49</v>
      </c>
      <c r="CU5" s="40">
        <v>43</v>
      </c>
      <c r="CV5" s="40">
        <v>26</v>
      </c>
      <c r="CW5" s="40">
        <v>32</v>
      </c>
      <c r="CX5" s="40">
        <v>64</v>
      </c>
      <c r="CY5" s="40">
        <v>34</v>
      </c>
      <c r="CZ5" s="40">
        <v>65</v>
      </c>
      <c r="DA5" s="40">
        <v>23</v>
      </c>
      <c r="DB5" s="40">
        <v>31</v>
      </c>
      <c r="DC5" s="40">
        <v>51</v>
      </c>
      <c r="DD5" s="40">
        <v>34</v>
      </c>
      <c r="DE5" s="40">
        <v>24</v>
      </c>
      <c r="DF5" s="40">
        <v>7</v>
      </c>
      <c r="DG5" s="40">
        <v>52</v>
      </c>
      <c r="DH5" s="40">
        <v>486</v>
      </c>
      <c r="DI5" s="52">
        <f t="shared" si="0"/>
        <v>19449.563999999998</v>
      </c>
      <c r="DJ5" s="55">
        <f t="shared" si="1"/>
        <v>0.93598776815768214</v>
      </c>
      <c r="DK5" s="55">
        <f t="shared" si="2"/>
        <v>6.4012231842317899E-2</v>
      </c>
      <c r="DL5" s="33">
        <f t="shared" si="3"/>
        <v>18204.554</v>
      </c>
      <c r="DM5" s="33">
        <f t="shared" si="4"/>
        <v>1245.0099999999998</v>
      </c>
      <c r="DN5" s="34">
        <v>42</v>
      </c>
      <c r="DO5" s="34">
        <v>44</v>
      </c>
      <c r="DP5" s="34">
        <v>58</v>
      </c>
      <c r="DQ5" s="34">
        <v>111</v>
      </c>
      <c r="DR5" s="34">
        <v>231</v>
      </c>
      <c r="DS5" s="34">
        <f>SUM(Table6[[#This Row],[Usia 0-11]:[Diatas 65]])</f>
        <v>486</v>
      </c>
    </row>
    <row r="8" spans="2:123" x14ac:dyDescent="0.2">
      <c r="AA8" s="12">
        <v>42</v>
      </c>
      <c r="AB8" s="12">
        <v>44</v>
      </c>
    </row>
    <row r="9" spans="2:123" x14ac:dyDescent="0.2">
      <c r="O9" s="40"/>
    </row>
  </sheetData>
  <phoneticPr fontId="5" type="noConversion"/>
  <pageMargins left="0.7" right="0.7" top="0.75" bottom="0.75" header="0.3" footer="0.3"/>
  <pageSetup paperSize="9" orientation="portrait" r:id="rId1"/>
  <tableParts count="6">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39A3F-A794-4228-BCC4-FEA5BE3247CA}">
  <dimension ref="A1:R126"/>
  <sheetViews>
    <sheetView zoomScale="91" zoomScaleNormal="91" workbookViewId="0"/>
  </sheetViews>
  <sheetFormatPr defaultRowHeight="15" x14ac:dyDescent="0.25"/>
  <cols>
    <col min="1" max="1" width="13.140625" bestFit="1" customWidth="1"/>
    <col min="2" max="2" width="35.7109375" bestFit="1" customWidth="1"/>
    <col min="3" max="3" width="46.7109375" bestFit="1" customWidth="1"/>
    <col min="4" max="4" width="44.140625" bestFit="1" customWidth="1"/>
    <col min="5" max="5" width="36.28515625" bestFit="1" customWidth="1"/>
    <col min="6" max="6" width="37.7109375" bestFit="1" customWidth="1"/>
    <col min="7" max="7" width="39.85546875" bestFit="1" customWidth="1"/>
    <col min="8" max="8" width="63.5703125" bestFit="1" customWidth="1"/>
    <col min="9" max="9" width="23.28515625" bestFit="1" customWidth="1"/>
    <col min="10" max="10" width="25.140625" bestFit="1" customWidth="1"/>
    <col min="11" max="11" width="28.42578125" bestFit="1" customWidth="1"/>
    <col min="12" max="13" width="25.42578125" bestFit="1" customWidth="1"/>
    <col min="14" max="14" width="26" bestFit="1" customWidth="1"/>
    <col min="15" max="15" width="22.5703125" bestFit="1" customWidth="1"/>
    <col min="16" max="16" width="17" customWidth="1"/>
  </cols>
  <sheetData>
    <row r="1" spans="1:6" x14ac:dyDescent="0.25">
      <c r="A1" s="2" t="s">
        <v>94</v>
      </c>
      <c r="B1" t="s">
        <v>96</v>
      </c>
    </row>
    <row r="2" spans="1:6" x14ac:dyDescent="0.25">
      <c r="A2" s="3">
        <v>2020</v>
      </c>
      <c r="B2" s="1">
        <v>15022.77</v>
      </c>
    </row>
    <row r="3" spans="1:6" x14ac:dyDescent="0.25">
      <c r="A3" s="3" t="s">
        <v>95</v>
      </c>
      <c r="B3" s="1">
        <v>15022.77</v>
      </c>
    </row>
    <row r="8" spans="1:6" x14ac:dyDescent="0.25">
      <c r="A8" s="2" t="s">
        <v>94</v>
      </c>
      <c r="B8" t="s">
        <v>55</v>
      </c>
      <c r="C8" t="s">
        <v>64</v>
      </c>
      <c r="D8" t="s">
        <v>61</v>
      </c>
      <c r="E8" t="s">
        <v>62</v>
      </c>
    </row>
    <row r="9" spans="1:6" x14ac:dyDescent="0.25">
      <c r="A9" s="3">
        <v>2020</v>
      </c>
      <c r="B9" s="1">
        <v>1</v>
      </c>
      <c r="C9" s="1">
        <v>4</v>
      </c>
      <c r="D9" s="1">
        <v>0</v>
      </c>
      <c r="E9" s="1">
        <v>0</v>
      </c>
    </row>
    <row r="10" spans="1:6" x14ac:dyDescent="0.25">
      <c r="A10" s="3" t="s">
        <v>95</v>
      </c>
      <c r="B10" s="1">
        <v>1</v>
      </c>
      <c r="C10" s="1">
        <v>4</v>
      </c>
      <c r="D10" s="1">
        <v>0</v>
      </c>
      <c r="E10" s="1">
        <v>0</v>
      </c>
    </row>
    <row r="15" spans="1:6" x14ac:dyDescent="0.25">
      <c r="A15" s="2" t="s">
        <v>94</v>
      </c>
      <c r="B15" t="s">
        <v>86</v>
      </c>
      <c r="C15" t="s">
        <v>87</v>
      </c>
      <c r="D15" t="s">
        <v>88</v>
      </c>
      <c r="E15" t="s">
        <v>89</v>
      </c>
      <c r="F15" t="s">
        <v>97</v>
      </c>
    </row>
    <row r="16" spans="1:6" x14ac:dyDescent="0.25">
      <c r="A16" s="3">
        <v>2020</v>
      </c>
      <c r="B16" s="1">
        <v>10</v>
      </c>
      <c r="C16" s="1">
        <v>4</v>
      </c>
      <c r="D16" s="1">
        <v>0</v>
      </c>
      <c r="E16" s="1">
        <v>1</v>
      </c>
      <c r="F16" s="1">
        <v>2</v>
      </c>
    </row>
    <row r="17" spans="1:12" x14ac:dyDescent="0.25">
      <c r="A17" s="3" t="s">
        <v>95</v>
      </c>
      <c r="B17" s="1">
        <v>10</v>
      </c>
      <c r="C17" s="1">
        <v>4</v>
      </c>
      <c r="D17" s="1">
        <v>0</v>
      </c>
      <c r="E17" s="1">
        <v>1</v>
      </c>
      <c r="F17" s="1">
        <v>2</v>
      </c>
    </row>
    <row r="22" spans="1:12" x14ac:dyDescent="0.25">
      <c r="A22" s="2" t="s">
        <v>94</v>
      </c>
      <c r="B22" t="s">
        <v>65</v>
      </c>
      <c r="C22" t="s">
        <v>66</v>
      </c>
      <c r="D22" t="s">
        <v>67</v>
      </c>
      <c r="E22" t="s">
        <v>68</v>
      </c>
      <c r="F22" t="s">
        <v>71</v>
      </c>
      <c r="G22" t="s">
        <v>72</v>
      </c>
      <c r="H22" t="s">
        <v>73</v>
      </c>
      <c r="I22" t="s">
        <v>6</v>
      </c>
      <c r="J22" s="6" t="s">
        <v>263</v>
      </c>
      <c r="K22" s="6" t="s">
        <v>264</v>
      </c>
      <c r="L22" s="6" t="s">
        <v>265</v>
      </c>
    </row>
    <row r="23" spans="1:12" x14ac:dyDescent="0.25">
      <c r="A23" s="3">
        <v>2020</v>
      </c>
      <c r="B23" s="1">
        <v>57255</v>
      </c>
      <c r="C23" s="1">
        <v>1849</v>
      </c>
      <c r="D23" s="1">
        <v>13</v>
      </c>
      <c r="E23" s="1">
        <v>509</v>
      </c>
      <c r="F23" s="1">
        <v>7</v>
      </c>
      <c r="G23" s="1">
        <v>0</v>
      </c>
      <c r="H23" s="1">
        <v>9</v>
      </c>
      <c r="J23" s="6" t="s">
        <v>256</v>
      </c>
      <c r="K23" s="8">
        <f>B24/I24</f>
        <v>0.95997786794540763</v>
      </c>
      <c r="L23" s="8">
        <f>B31/I31</f>
        <v>0.95692307692307688</v>
      </c>
    </row>
    <row r="24" spans="1:12" x14ac:dyDescent="0.25">
      <c r="A24" s="3" t="s">
        <v>95</v>
      </c>
      <c r="B24" s="1">
        <v>57255</v>
      </c>
      <c r="C24" s="1">
        <v>1849</v>
      </c>
      <c r="D24" s="1">
        <v>13</v>
      </c>
      <c r="E24" s="1">
        <v>509</v>
      </c>
      <c r="F24" s="1">
        <v>7</v>
      </c>
      <c r="G24" s="1">
        <v>0</v>
      </c>
      <c r="H24" s="1">
        <v>9</v>
      </c>
      <c r="I24">
        <f>SUM(B24:H24)</f>
        <v>59642</v>
      </c>
      <c r="J24" s="6" t="s">
        <v>257</v>
      </c>
      <c r="K24" s="8">
        <f>C24/I24</f>
        <v>3.1001643137386407E-2</v>
      </c>
      <c r="L24" s="8">
        <f>C31/I31</f>
        <v>2.4615384615384615E-2</v>
      </c>
    </row>
    <row r="25" spans="1:12" x14ac:dyDescent="0.25">
      <c r="J25" s="6" t="s">
        <v>258</v>
      </c>
      <c r="K25" s="8">
        <f>D24/I24</f>
        <v>2.1796720431910399E-4</v>
      </c>
      <c r="L25" s="8">
        <f>D31/I31</f>
        <v>3.0769230769230769E-3</v>
      </c>
    </row>
    <row r="26" spans="1:12" x14ac:dyDescent="0.25">
      <c r="J26" s="6" t="s">
        <v>259</v>
      </c>
      <c r="K26" s="8">
        <f>E24/I24</f>
        <v>8.5342543844941481E-3</v>
      </c>
      <c r="L26" s="8">
        <f>E31/I31</f>
        <v>1.2307692307692308E-2</v>
      </c>
    </row>
    <row r="27" spans="1:12" x14ac:dyDescent="0.25">
      <c r="J27" s="6" t="s">
        <v>260</v>
      </c>
      <c r="K27" s="8">
        <f>F24/I24</f>
        <v>1.1736695617182523E-4</v>
      </c>
      <c r="L27" s="8">
        <f>F31/I31</f>
        <v>0</v>
      </c>
    </row>
    <row r="28" spans="1:12" x14ac:dyDescent="0.25">
      <c r="J28" s="6" t="s">
        <v>261</v>
      </c>
      <c r="K28" s="8">
        <f>G24/I24</f>
        <v>0</v>
      </c>
      <c r="L28" s="8">
        <f>G1/I31</f>
        <v>0</v>
      </c>
    </row>
    <row r="29" spans="1:12" x14ac:dyDescent="0.25">
      <c r="A29" s="2" t="s">
        <v>94</v>
      </c>
      <c r="B29" t="s">
        <v>69</v>
      </c>
      <c r="C29" t="s">
        <v>70</v>
      </c>
      <c r="D29" t="s">
        <v>74</v>
      </c>
      <c r="E29" t="s">
        <v>75</v>
      </c>
      <c r="F29" t="s">
        <v>76</v>
      </c>
      <c r="G29" t="s">
        <v>77</v>
      </c>
      <c r="H29" t="s">
        <v>78</v>
      </c>
      <c r="I29" t="s">
        <v>6</v>
      </c>
      <c r="J29" s="6" t="s">
        <v>262</v>
      </c>
      <c r="K29" s="8">
        <f>H24/I24</f>
        <v>1.5090037222091813E-4</v>
      </c>
      <c r="L29" s="8">
        <f>H31/I31</f>
        <v>3.0769230769230769E-3</v>
      </c>
    </row>
    <row r="30" spans="1:12" x14ac:dyDescent="0.25">
      <c r="A30" s="3">
        <v>2020</v>
      </c>
      <c r="B30" s="1">
        <v>311</v>
      </c>
      <c r="C30" s="1">
        <v>8</v>
      </c>
      <c r="D30" s="1">
        <v>1</v>
      </c>
      <c r="E30" s="1">
        <v>4</v>
      </c>
      <c r="F30" s="1">
        <v>0</v>
      </c>
      <c r="G30" s="1">
        <v>0</v>
      </c>
      <c r="H30" s="1">
        <v>1</v>
      </c>
    </row>
    <row r="31" spans="1:12" x14ac:dyDescent="0.25">
      <c r="A31" s="3" t="s">
        <v>95</v>
      </c>
      <c r="B31" s="1">
        <v>311</v>
      </c>
      <c r="C31" s="1">
        <v>8</v>
      </c>
      <c r="D31" s="1">
        <v>1</v>
      </c>
      <c r="E31" s="1">
        <v>4</v>
      </c>
      <c r="F31" s="1">
        <v>0</v>
      </c>
      <c r="G31" s="1">
        <v>0</v>
      </c>
      <c r="H31" s="1">
        <v>1</v>
      </c>
      <c r="I31">
        <f>SUM(B31:H31)</f>
        <v>325</v>
      </c>
    </row>
    <row r="36" spans="1:8" x14ac:dyDescent="0.25">
      <c r="A36" s="2" t="s">
        <v>94</v>
      </c>
      <c r="B36" t="s">
        <v>79</v>
      </c>
      <c r="C36" t="s">
        <v>80</v>
      </c>
      <c r="D36" t="s">
        <v>81</v>
      </c>
      <c r="E36" t="s">
        <v>82</v>
      </c>
      <c r="F36" t="s">
        <v>83</v>
      </c>
      <c r="G36" t="s">
        <v>84</v>
      </c>
      <c r="H36" t="s">
        <v>85</v>
      </c>
    </row>
    <row r="37" spans="1:8" x14ac:dyDescent="0.25">
      <c r="A37" s="3">
        <v>2020</v>
      </c>
      <c r="B37" s="1">
        <v>15</v>
      </c>
      <c r="C37" s="1">
        <v>1</v>
      </c>
      <c r="D37" s="1">
        <v>29</v>
      </c>
      <c r="E37" s="1">
        <v>2</v>
      </c>
      <c r="F37" s="1">
        <v>6</v>
      </c>
      <c r="G37" s="1">
        <v>0</v>
      </c>
      <c r="H37" s="1">
        <v>0</v>
      </c>
    </row>
    <row r="38" spans="1:8" x14ac:dyDescent="0.25">
      <c r="A38" s="3" t="s">
        <v>95</v>
      </c>
      <c r="B38" s="1">
        <v>15</v>
      </c>
      <c r="C38" s="1">
        <v>1</v>
      </c>
      <c r="D38" s="1">
        <v>29</v>
      </c>
      <c r="E38" s="1">
        <v>2</v>
      </c>
      <c r="F38" s="1">
        <v>6</v>
      </c>
      <c r="G38" s="1">
        <v>0</v>
      </c>
      <c r="H38" s="1">
        <v>0</v>
      </c>
    </row>
    <row r="43" spans="1:8" x14ac:dyDescent="0.25">
      <c r="A43" s="2" t="s">
        <v>94</v>
      </c>
      <c r="B43" t="s">
        <v>90</v>
      </c>
      <c r="C43" t="s">
        <v>91</v>
      </c>
      <c r="D43" t="s">
        <v>92</v>
      </c>
      <c r="E43" t="s">
        <v>93</v>
      </c>
    </row>
    <row r="44" spans="1:8" x14ac:dyDescent="0.25">
      <c r="A44" s="3">
        <v>2020</v>
      </c>
      <c r="B44" s="1">
        <v>13</v>
      </c>
      <c r="C44" s="1">
        <v>39</v>
      </c>
      <c r="D44" s="1">
        <v>93</v>
      </c>
      <c r="E44" s="1">
        <v>317</v>
      </c>
    </row>
    <row r="45" spans="1:8" x14ac:dyDescent="0.25">
      <c r="A45" s="3" t="s">
        <v>95</v>
      </c>
      <c r="B45" s="1">
        <v>13</v>
      </c>
      <c r="C45" s="1">
        <v>39</v>
      </c>
      <c r="D45" s="1">
        <v>93</v>
      </c>
      <c r="E45" s="1">
        <v>317</v>
      </c>
    </row>
    <row r="50" spans="1:18" x14ac:dyDescent="0.25">
      <c r="B50" s="2" t="s">
        <v>247</v>
      </c>
    </row>
    <row r="51" spans="1:18" x14ac:dyDescent="0.25">
      <c r="A51" s="2" t="s">
        <v>248</v>
      </c>
      <c r="B51">
        <v>2020</v>
      </c>
      <c r="C51" t="s">
        <v>95</v>
      </c>
    </row>
    <row r="52" spans="1:18" x14ac:dyDescent="0.25">
      <c r="A52" s="3" t="s">
        <v>56</v>
      </c>
      <c r="B52" s="1">
        <v>0</v>
      </c>
      <c r="C52" s="1">
        <v>0</v>
      </c>
    </row>
    <row r="53" spans="1:18" x14ac:dyDescent="0.25">
      <c r="A53" s="3" t="s">
        <v>57</v>
      </c>
      <c r="B53" s="1">
        <v>2</v>
      </c>
      <c r="C53" s="1">
        <v>2</v>
      </c>
    </row>
    <row r="54" spans="1:18" x14ac:dyDescent="0.25">
      <c r="A54" s="3" t="s">
        <v>58</v>
      </c>
      <c r="B54" s="1">
        <v>1</v>
      </c>
      <c r="C54" s="1">
        <v>1</v>
      </c>
    </row>
    <row r="55" spans="1:18" x14ac:dyDescent="0.25">
      <c r="A55" s="3" t="s">
        <v>59</v>
      </c>
      <c r="B55" s="1">
        <v>1</v>
      </c>
      <c r="C55" s="1">
        <v>1</v>
      </c>
    </row>
    <row r="56" spans="1:18" x14ac:dyDescent="0.25">
      <c r="A56" s="3" t="s">
        <v>60</v>
      </c>
      <c r="B56" s="1">
        <v>0</v>
      </c>
      <c r="C56" s="1">
        <v>0</v>
      </c>
    </row>
    <row r="57" spans="1:18" x14ac:dyDescent="0.25">
      <c r="A57" s="3"/>
      <c r="B57" s="1"/>
      <c r="C57" s="1"/>
    </row>
    <row r="58" spans="1:18" x14ac:dyDescent="0.25">
      <c r="A58" s="57" t="s">
        <v>268</v>
      </c>
      <c r="Q58" s="6" t="s">
        <v>2</v>
      </c>
      <c r="R58" s="6" t="s">
        <v>266</v>
      </c>
    </row>
    <row r="59" spans="1:18" x14ac:dyDescent="0.25">
      <c r="A59" s="2" t="s">
        <v>94</v>
      </c>
      <c r="B59" t="s">
        <v>140</v>
      </c>
      <c r="C59" t="s">
        <v>141</v>
      </c>
      <c r="D59" t="s">
        <v>142</v>
      </c>
      <c r="E59" t="s">
        <v>143</v>
      </c>
      <c r="F59" t="s">
        <v>144</v>
      </c>
      <c r="G59" t="s">
        <v>145</v>
      </c>
      <c r="H59" t="s">
        <v>146</v>
      </c>
      <c r="I59" t="s">
        <v>147</v>
      </c>
      <c r="J59" t="s">
        <v>148</v>
      </c>
      <c r="K59" t="s">
        <v>149</v>
      </c>
      <c r="L59" t="s">
        <v>150</v>
      </c>
      <c r="M59" t="s">
        <v>151</v>
      </c>
      <c r="N59" t="s">
        <v>152</v>
      </c>
      <c r="O59" t="s">
        <v>6</v>
      </c>
      <c r="Q59" s="7" t="s">
        <v>7</v>
      </c>
      <c r="R59" s="8">
        <f>B61/O61</f>
        <v>8.5365853658536592E-2</v>
      </c>
    </row>
    <row r="60" spans="1:18" x14ac:dyDescent="0.25">
      <c r="A60" s="3">
        <v>2020</v>
      </c>
      <c r="B60" s="1">
        <v>7</v>
      </c>
      <c r="C60" s="1">
        <v>5</v>
      </c>
      <c r="D60" s="1">
        <v>7</v>
      </c>
      <c r="E60" s="1">
        <v>0</v>
      </c>
      <c r="F60" s="1">
        <v>4</v>
      </c>
      <c r="G60" s="1">
        <v>0</v>
      </c>
      <c r="H60" s="1">
        <v>6</v>
      </c>
      <c r="I60" s="1">
        <v>9</v>
      </c>
      <c r="J60" s="1">
        <v>9</v>
      </c>
      <c r="K60" s="1">
        <v>2</v>
      </c>
      <c r="L60" s="1">
        <v>15</v>
      </c>
      <c r="M60" s="1">
        <v>14</v>
      </c>
      <c r="N60" s="1">
        <v>4</v>
      </c>
      <c r="Q60" s="7" t="s">
        <v>8</v>
      </c>
      <c r="R60" s="8">
        <f>C61/O61</f>
        <v>6.097560975609756E-2</v>
      </c>
    </row>
    <row r="61" spans="1:18" x14ac:dyDescent="0.25">
      <c r="A61" s="3" t="s">
        <v>95</v>
      </c>
      <c r="B61" s="1">
        <v>7</v>
      </c>
      <c r="C61" s="1">
        <v>5</v>
      </c>
      <c r="D61" s="1">
        <v>7</v>
      </c>
      <c r="E61" s="1">
        <v>0</v>
      </c>
      <c r="F61" s="1">
        <v>4</v>
      </c>
      <c r="G61" s="1">
        <v>0</v>
      </c>
      <c r="H61" s="1">
        <v>6</v>
      </c>
      <c r="I61" s="1">
        <v>9</v>
      </c>
      <c r="J61" s="1">
        <v>9</v>
      </c>
      <c r="K61" s="1">
        <v>2</v>
      </c>
      <c r="L61" s="1">
        <v>15</v>
      </c>
      <c r="M61" s="1">
        <v>14</v>
      </c>
      <c r="N61" s="1">
        <v>4</v>
      </c>
      <c r="O61">
        <f>SUM(B61:N61)</f>
        <v>82</v>
      </c>
      <c r="Q61" s="7" t="s">
        <v>9</v>
      </c>
      <c r="R61" s="8">
        <f>D61/O61</f>
        <v>8.5365853658536592E-2</v>
      </c>
    </row>
    <row r="62" spans="1:18" x14ac:dyDescent="0.25">
      <c r="Q62" s="7" t="s">
        <v>10</v>
      </c>
      <c r="R62" s="8">
        <f>E61/O61</f>
        <v>0</v>
      </c>
    </row>
    <row r="63" spans="1:18" x14ac:dyDescent="0.25">
      <c r="Q63" s="7" t="s">
        <v>11</v>
      </c>
      <c r="R63" s="8">
        <f>F61/O61</f>
        <v>4.878048780487805E-2</v>
      </c>
    </row>
    <row r="64" spans="1:18" x14ac:dyDescent="0.25">
      <c r="Q64" s="7" t="s">
        <v>12</v>
      </c>
      <c r="R64" s="8">
        <f>G61/O61</f>
        <v>0</v>
      </c>
    </row>
    <row r="65" spans="1:18" x14ac:dyDescent="0.25">
      <c r="Q65" s="7" t="s">
        <v>13</v>
      </c>
      <c r="R65" s="8">
        <f>H61/O61</f>
        <v>7.3170731707317069E-2</v>
      </c>
    </row>
    <row r="66" spans="1:18" x14ac:dyDescent="0.25">
      <c r="A66" s="5" t="s">
        <v>223</v>
      </c>
      <c r="Q66" s="7" t="s">
        <v>14</v>
      </c>
      <c r="R66" s="8">
        <f>I61/O61</f>
        <v>0.10975609756097561</v>
      </c>
    </row>
    <row r="67" spans="1:18" x14ac:dyDescent="0.25">
      <c r="A67" s="2" t="s">
        <v>94</v>
      </c>
      <c r="B67" t="s">
        <v>153</v>
      </c>
      <c r="C67" t="s">
        <v>154</v>
      </c>
      <c r="D67" t="s">
        <v>155</v>
      </c>
      <c r="E67" t="s">
        <v>156</v>
      </c>
      <c r="F67" t="s">
        <v>157</v>
      </c>
      <c r="G67" t="s">
        <v>158</v>
      </c>
      <c r="H67" t="s">
        <v>222</v>
      </c>
      <c r="I67" t="s">
        <v>159</v>
      </c>
      <c r="J67" t="s">
        <v>160</v>
      </c>
      <c r="K67" t="s">
        <v>161</v>
      </c>
      <c r="L67" t="s">
        <v>162</v>
      </c>
      <c r="M67" t="s">
        <v>163</v>
      </c>
      <c r="N67" t="s">
        <v>164</v>
      </c>
      <c r="O67" t="s">
        <v>165</v>
      </c>
      <c r="Q67" s="7" t="s">
        <v>15</v>
      </c>
      <c r="R67" s="8">
        <f>J61/O61</f>
        <v>0.10975609756097561</v>
      </c>
    </row>
    <row r="68" spans="1:18" x14ac:dyDescent="0.25">
      <c r="A68" s="3">
        <v>2020</v>
      </c>
      <c r="B68" s="1">
        <v>802.16399999999999</v>
      </c>
      <c r="C68" s="1">
        <v>706.75</v>
      </c>
      <c r="D68" s="1">
        <v>280.7</v>
      </c>
      <c r="E68" s="1">
        <v>354</v>
      </c>
      <c r="F68" s="1">
        <v>140.66</v>
      </c>
      <c r="G68" s="1">
        <v>676</v>
      </c>
      <c r="H68" s="1">
        <v>1</v>
      </c>
      <c r="I68" s="1">
        <v>11440.4</v>
      </c>
      <c r="J68" s="1">
        <v>554.91000000000008</v>
      </c>
      <c r="K68" s="1">
        <v>1020</v>
      </c>
      <c r="L68" s="1">
        <v>359.33</v>
      </c>
      <c r="M68" s="1">
        <v>737</v>
      </c>
      <c r="N68" s="1">
        <v>632.24</v>
      </c>
      <c r="O68" s="1">
        <v>18204.554</v>
      </c>
      <c r="Q68" s="7" t="s">
        <v>16</v>
      </c>
      <c r="R68" s="8">
        <f>K61/O61</f>
        <v>2.4390243902439025E-2</v>
      </c>
    </row>
    <row r="69" spans="1:18" x14ac:dyDescent="0.25">
      <c r="A69" s="3" t="s">
        <v>95</v>
      </c>
      <c r="B69" s="1">
        <v>802.16399999999999</v>
      </c>
      <c r="C69" s="1">
        <v>706.75</v>
      </c>
      <c r="D69" s="1">
        <v>280.7</v>
      </c>
      <c r="E69" s="1">
        <v>354</v>
      </c>
      <c r="F69" s="1">
        <v>140.66</v>
      </c>
      <c r="G69" s="1">
        <v>676</v>
      </c>
      <c r="H69" s="1">
        <v>1</v>
      </c>
      <c r="I69" s="1">
        <v>11440.4</v>
      </c>
      <c r="J69" s="1">
        <v>554.91000000000008</v>
      </c>
      <c r="K69" s="1">
        <v>1020</v>
      </c>
      <c r="L69" s="1">
        <v>359.33</v>
      </c>
      <c r="M69" s="1">
        <v>737</v>
      </c>
      <c r="N69" s="1">
        <v>632.24</v>
      </c>
      <c r="O69" s="1">
        <v>18204.554</v>
      </c>
      <c r="Q69" s="7" t="s">
        <v>17</v>
      </c>
      <c r="R69" s="8">
        <f>L61/O61</f>
        <v>0.18292682926829268</v>
      </c>
    </row>
    <row r="70" spans="1:18" x14ac:dyDescent="0.25">
      <c r="Q70" s="7" t="s">
        <v>18</v>
      </c>
      <c r="R70" s="8">
        <f>M61/O61</f>
        <v>0.17073170731707318</v>
      </c>
    </row>
    <row r="71" spans="1:18" x14ac:dyDescent="0.25">
      <c r="Q71" s="7" t="s">
        <v>19</v>
      </c>
      <c r="R71" s="8">
        <f>N61/O61</f>
        <v>4.878048780487805E-2</v>
      </c>
    </row>
    <row r="78" spans="1:18" x14ac:dyDescent="0.25">
      <c r="A78" s="5" t="s">
        <v>224</v>
      </c>
    </row>
    <row r="79" spans="1:18" x14ac:dyDescent="0.25">
      <c r="A79" s="2" t="s">
        <v>94</v>
      </c>
      <c r="B79" t="s">
        <v>166</v>
      </c>
      <c r="C79" t="s">
        <v>167</v>
      </c>
      <c r="D79" t="s">
        <v>168</v>
      </c>
      <c r="E79" t="s">
        <v>169</v>
      </c>
      <c r="F79" t="s">
        <v>170</v>
      </c>
      <c r="G79" t="s">
        <v>171</v>
      </c>
      <c r="H79" t="s">
        <v>172</v>
      </c>
      <c r="I79" t="s">
        <v>173</v>
      </c>
      <c r="J79" t="s">
        <v>174</v>
      </c>
      <c r="K79" t="s">
        <v>175</v>
      </c>
      <c r="L79" t="s">
        <v>176</v>
      </c>
      <c r="M79" t="s">
        <v>177</v>
      </c>
      <c r="N79" t="s">
        <v>178</v>
      </c>
      <c r="O79" t="s">
        <v>179</v>
      </c>
    </row>
    <row r="80" spans="1:18" x14ac:dyDescent="0.25">
      <c r="A80" s="3">
        <v>2020</v>
      </c>
      <c r="B80" s="1">
        <v>0</v>
      </c>
      <c r="C80" s="1">
        <v>24.8</v>
      </c>
      <c r="D80" s="1">
        <v>0</v>
      </c>
      <c r="E80" s="1">
        <v>22</v>
      </c>
      <c r="F80" s="1">
        <v>75.739999999999995</v>
      </c>
      <c r="G80" s="1">
        <v>403</v>
      </c>
      <c r="H80" s="1">
        <v>0</v>
      </c>
      <c r="I80" s="1">
        <v>53.099999999999994</v>
      </c>
      <c r="J80" s="1">
        <v>0</v>
      </c>
      <c r="K80" s="1">
        <v>52.67</v>
      </c>
      <c r="L80" s="1">
        <v>0</v>
      </c>
      <c r="M80" s="1">
        <v>420.1</v>
      </c>
      <c r="N80" s="1">
        <v>193.6</v>
      </c>
      <c r="O80" s="1">
        <v>1245.0099999999998</v>
      </c>
    </row>
    <row r="81" spans="1:18" x14ac:dyDescent="0.25">
      <c r="A81" s="3" t="s">
        <v>95</v>
      </c>
      <c r="B81" s="1">
        <v>0</v>
      </c>
      <c r="C81" s="1">
        <v>24.8</v>
      </c>
      <c r="D81" s="1">
        <v>0</v>
      </c>
      <c r="E81" s="1">
        <v>22</v>
      </c>
      <c r="F81" s="1">
        <v>75.739999999999995</v>
      </c>
      <c r="G81" s="1">
        <v>403</v>
      </c>
      <c r="H81" s="1">
        <v>0</v>
      </c>
      <c r="I81" s="1">
        <v>53.099999999999994</v>
      </c>
      <c r="J81" s="1">
        <v>0</v>
      </c>
      <c r="K81" s="1">
        <v>52.67</v>
      </c>
      <c r="L81" s="1">
        <v>0</v>
      </c>
      <c r="M81" s="1">
        <v>420.1</v>
      </c>
      <c r="N81" s="1">
        <v>193.6</v>
      </c>
      <c r="O81" s="1">
        <v>1245.0099999999998</v>
      </c>
    </row>
    <row r="85" spans="1:18" x14ac:dyDescent="0.25">
      <c r="Q85" s="9" t="s">
        <v>2</v>
      </c>
      <c r="R85" s="9" t="s">
        <v>267</v>
      </c>
    </row>
    <row r="86" spans="1:18" x14ac:dyDescent="0.25">
      <c r="A86" s="5" t="s">
        <v>269</v>
      </c>
      <c r="Q86" s="7" t="s">
        <v>7</v>
      </c>
      <c r="R86" s="10">
        <f>B89/O89</f>
        <v>5.6818181818181816E-2</v>
      </c>
    </row>
    <row r="87" spans="1:18" x14ac:dyDescent="0.25">
      <c r="A87" s="2" t="s">
        <v>94</v>
      </c>
      <c r="B87" t="s">
        <v>180</v>
      </c>
      <c r="C87" t="s">
        <v>181</v>
      </c>
      <c r="D87" t="s">
        <v>182</v>
      </c>
      <c r="E87" t="s">
        <v>183</v>
      </c>
      <c r="F87" t="s">
        <v>184</v>
      </c>
      <c r="G87" t="s">
        <v>185</v>
      </c>
      <c r="H87" t="s">
        <v>186</v>
      </c>
      <c r="I87" t="s">
        <v>187</v>
      </c>
      <c r="J87" t="s">
        <v>188</v>
      </c>
      <c r="K87" t="s">
        <v>189</v>
      </c>
      <c r="L87" t="s">
        <v>190</v>
      </c>
      <c r="M87" t="s">
        <v>191</v>
      </c>
      <c r="N87" t="s">
        <v>192</v>
      </c>
      <c r="O87" t="s">
        <v>193</v>
      </c>
      <c r="Q87" s="7" t="s">
        <v>8</v>
      </c>
      <c r="R87" s="10">
        <f>C89/O89</f>
        <v>7.9545454545454544E-2</v>
      </c>
    </row>
    <row r="88" spans="1:18" x14ac:dyDescent="0.25">
      <c r="A88" s="3">
        <v>2020</v>
      </c>
      <c r="B88" s="1">
        <v>5</v>
      </c>
      <c r="C88" s="1">
        <v>7</v>
      </c>
      <c r="D88" s="1">
        <v>6</v>
      </c>
      <c r="E88" s="1">
        <v>8</v>
      </c>
      <c r="F88" s="1">
        <v>7</v>
      </c>
      <c r="G88" s="1">
        <v>6</v>
      </c>
      <c r="H88" s="1">
        <v>9</v>
      </c>
      <c r="I88" s="1">
        <v>7</v>
      </c>
      <c r="J88" s="1">
        <v>8</v>
      </c>
      <c r="K88" s="1">
        <v>6</v>
      </c>
      <c r="L88" s="1">
        <v>6</v>
      </c>
      <c r="M88" s="1">
        <v>6</v>
      </c>
      <c r="N88" s="1">
        <v>7</v>
      </c>
      <c r="O88" s="1">
        <v>88</v>
      </c>
      <c r="Q88" s="7" t="s">
        <v>9</v>
      </c>
      <c r="R88" s="10">
        <f>D89/O89</f>
        <v>6.8181818181818177E-2</v>
      </c>
    </row>
    <row r="89" spans="1:18" x14ac:dyDescent="0.25">
      <c r="A89" s="3" t="s">
        <v>95</v>
      </c>
      <c r="B89" s="1">
        <v>5</v>
      </c>
      <c r="C89" s="1">
        <v>7</v>
      </c>
      <c r="D89" s="1">
        <v>6</v>
      </c>
      <c r="E89" s="1">
        <v>8</v>
      </c>
      <c r="F89" s="1">
        <v>7</v>
      </c>
      <c r="G89" s="1">
        <v>6</v>
      </c>
      <c r="H89" s="1">
        <v>9</v>
      </c>
      <c r="I89" s="1">
        <v>7</v>
      </c>
      <c r="J89" s="1">
        <v>8</v>
      </c>
      <c r="K89" s="1">
        <v>6</v>
      </c>
      <c r="L89" s="1">
        <v>6</v>
      </c>
      <c r="M89" s="1">
        <v>6</v>
      </c>
      <c r="N89" s="1">
        <v>7</v>
      </c>
      <c r="O89" s="1">
        <v>88</v>
      </c>
      <c r="Q89" s="7" t="s">
        <v>10</v>
      </c>
      <c r="R89" s="10">
        <f>E89/O89</f>
        <v>9.0909090909090912E-2</v>
      </c>
    </row>
    <row r="90" spans="1:18" x14ac:dyDescent="0.25">
      <c r="Q90" s="7" t="s">
        <v>11</v>
      </c>
      <c r="R90" s="10">
        <f>F89/O89</f>
        <v>7.9545454545454544E-2</v>
      </c>
    </row>
    <row r="91" spans="1:18" x14ac:dyDescent="0.25">
      <c r="Q91" s="7" t="s">
        <v>12</v>
      </c>
      <c r="R91" s="10">
        <f>G89/O89</f>
        <v>6.8181818181818177E-2</v>
      </c>
    </row>
    <row r="92" spans="1:18" x14ac:dyDescent="0.25">
      <c r="Q92" s="7" t="s">
        <v>13</v>
      </c>
      <c r="R92" s="10">
        <f>H89/O89</f>
        <v>0.10227272727272728</v>
      </c>
    </row>
    <row r="93" spans="1:18" x14ac:dyDescent="0.25">
      <c r="Q93" s="7" t="s">
        <v>14</v>
      </c>
      <c r="R93" s="10">
        <f>I89/O89</f>
        <v>7.9545454545454544E-2</v>
      </c>
    </row>
    <row r="94" spans="1:18" x14ac:dyDescent="0.25">
      <c r="A94" s="5" t="s">
        <v>270</v>
      </c>
      <c r="Q94" s="7" t="s">
        <v>15</v>
      </c>
      <c r="R94" s="10">
        <f>J89/O89</f>
        <v>9.0909090909090912E-2</v>
      </c>
    </row>
    <row r="95" spans="1:18" x14ac:dyDescent="0.25">
      <c r="A95" s="2" t="s">
        <v>94</v>
      </c>
      <c r="B95" t="s">
        <v>208</v>
      </c>
      <c r="C95" t="s">
        <v>209</v>
      </c>
      <c r="D95" t="s">
        <v>210</v>
      </c>
      <c r="E95" t="s">
        <v>211</v>
      </c>
      <c r="F95" t="s">
        <v>212</v>
      </c>
      <c r="G95" t="s">
        <v>213</v>
      </c>
      <c r="H95" t="s">
        <v>214</v>
      </c>
      <c r="I95" t="s">
        <v>215</v>
      </c>
      <c r="J95" t="s">
        <v>216</v>
      </c>
      <c r="K95" t="s">
        <v>217</v>
      </c>
      <c r="L95" t="s">
        <v>218</v>
      </c>
      <c r="M95" t="s">
        <v>219</v>
      </c>
      <c r="N95" t="s">
        <v>220</v>
      </c>
      <c r="O95" t="s">
        <v>221</v>
      </c>
      <c r="Q95" s="7" t="s">
        <v>16</v>
      </c>
      <c r="R95" s="10">
        <f>K89/O89</f>
        <v>6.8181818181818177E-2</v>
      </c>
    </row>
    <row r="96" spans="1:18" x14ac:dyDescent="0.25">
      <c r="A96" s="3">
        <v>2020</v>
      </c>
      <c r="B96" s="1">
        <v>54</v>
      </c>
      <c r="C96" s="1">
        <v>38</v>
      </c>
      <c r="D96" s="1">
        <v>44</v>
      </c>
      <c r="E96" s="1">
        <v>45</v>
      </c>
      <c r="F96" s="1">
        <v>10</v>
      </c>
      <c r="G96" s="1">
        <v>56</v>
      </c>
      <c r="H96" s="1">
        <v>44</v>
      </c>
      <c r="I96" s="1">
        <v>25</v>
      </c>
      <c r="J96" s="1">
        <v>46</v>
      </c>
      <c r="K96" s="1">
        <v>31</v>
      </c>
      <c r="L96" s="1">
        <v>23</v>
      </c>
      <c r="M96" s="1">
        <v>14</v>
      </c>
      <c r="N96" s="1">
        <v>34</v>
      </c>
      <c r="O96" s="1">
        <v>464</v>
      </c>
      <c r="Q96" s="7" t="s">
        <v>17</v>
      </c>
      <c r="R96" s="10">
        <f>L89/O89</f>
        <v>6.8181818181818177E-2</v>
      </c>
    </row>
    <row r="97" spans="1:18" x14ac:dyDescent="0.25">
      <c r="A97" s="3" t="s">
        <v>95</v>
      </c>
      <c r="B97" s="1">
        <v>54</v>
      </c>
      <c r="C97" s="1">
        <v>38</v>
      </c>
      <c r="D97" s="1">
        <v>44</v>
      </c>
      <c r="E97" s="1">
        <v>45</v>
      </c>
      <c r="F97" s="1">
        <v>10</v>
      </c>
      <c r="G97" s="1">
        <v>56</v>
      </c>
      <c r="H97" s="1">
        <v>44</v>
      </c>
      <c r="I97" s="1">
        <v>25</v>
      </c>
      <c r="J97" s="1">
        <v>46</v>
      </c>
      <c r="K97" s="1">
        <v>31</v>
      </c>
      <c r="L97" s="1">
        <v>23</v>
      </c>
      <c r="M97" s="1">
        <v>14</v>
      </c>
      <c r="N97" s="1">
        <v>34</v>
      </c>
      <c r="O97" s="1">
        <v>464</v>
      </c>
      <c r="Q97" s="7" t="s">
        <v>18</v>
      </c>
      <c r="R97" s="10">
        <f>M89/O89</f>
        <v>6.8181818181818177E-2</v>
      </c>
    </row>
    <row r="98" spans="1:18" x14ac:dyDescent="0.25">
      <c r="Q98" s="7" t="s">
        <v>19</v>
      </c>
      <c r="R98" s="10">
        <f>N89/O89</f>
        <v>7.9545454545454544E-2</v>
      </c>
    </row>
    <row r="103" spans="1:18" x14ac:dyDescent="0.25">
      <c r="A103" s="2" t="s">
        <v>94</v>
      </c>
      <c r="B103" t="s">
        <v>245</v>
      </c>
      <c r="C103" t="s">
        <v>246</v>
      </c>
      <c r="D103" t="s">
        <v>242</v>
      </c>
    </row>
    <row r="104" spans="1:18" x14ac:dyDescent="0.25">
      <c r="A104" s="3">
        <v>2020</v>
      </c>
      <c r="B104" s="1">
        <v>18204.554</v>
      </c>
      <c r="C104" s="1">
        <v>1245.0099999999998</v>
      </c>
      <c r="D104" s="1">
        <v>19449.563999999998</v>
      </c>
    </row>
    <row r="105" spans="1:18" x14ac:dyDescent="0.25">
      <c r="A105" s="3" t="s">
        <v>95</v>
      </c>
      <c r="B105" s="1">
        <v>18204.554</v>
      </c>
      <c r="C105" s="1">
        <v>1245.0099999999998</v>
      </c>
      <c r="D105" s="1">
        <v>19449.563999999998</v>
      </c>
    </row>
    <row r="110" spans="1:18" x14ac:dyDescent="0.25">
      <c r="A110" s="2" t="s">
        <v>94</v>
      </c>
      <c r="B110" t="s">
        <v>243</v>
      </c>
      <c r="C110" t="s">
        <v>244</v>
      </c>
    </row>
    <row r="111" spans="1:18" x14ac:dyDescent="0.25">
      <c r="A111" s="3">
        <v>2020</v>
      </c>
      <c r="B111" s="1">
        <v>0.93598776815768214</v>
      </c>
      <c r="C111" s="1">
        <v>6.4012231842317899E-2</v>
      </c>
      <c r="D111" s="6" t="s">
        <v>226</v>
      </c>
      <c r="E111" s="8">
        <f>GETPIVOTDATA("Sum of Lahan Produktif",$A$110)</f>
        <v>0.93598776815768214</v>
      </c>
    </row>
    <row r="112" spans="1:18" x14ac:dyDescent="0.25">
      <c r="A112" s="3" t="s">
        <v>95</v>
      </c>
      <c r="B112" s="1">
        <v>0.93598776815768214</v>
      </c>
      <c r="C112" s="1">
        <v>6.4012231842317899E-2</v>
      </c>
      <c r="D112" s="6" t="s">
        <v>227</v>
      </c>
      <c r="E112" s="8">
        <f>GETPIVOTDATA("Sum of Lahan Tidak Produktif",$A$110)</f>
        <v>6.4012231842317899E-2</v>
      </c>
    </row>
    <row r="116" spans="1:7" x14ac:dyDescent="0.25">
      <c r="A116" s="5" t="s">
        <v>271</v>
      </c>
    </row>
    <row r="117" spans="1:7" x14ac:dyDescent="0.25">
      <c r="A117" s="2" t="s">
        <v>94</v>
      </c>
      <c r="B117" t="s">
        <v>236</v>
      </c>
      <c r="C117" t="s">
        <v>237</v>
      </c>
      <c r="D117" t="s">
        <v>238</v>
      </c>
      <c r="E117" t="s">
        <v>239</v>
      </c>
      <c r="F117" t="s">
        <v>240</v>
      </c>
      <c r="G117" t="s">
        <v>241</v>
      </c>
    </row>
    <row r="118" spans="1:7" x14ac:dyDescent="0.25">
      <c r="A118" s="3">
        <v>2020</v>
      </c>
      <c r="B118" s="1">
        <v>43</v>
      </c>
      <c r="C118" s="1">
        <v>37</v>
      </c>
      <c r="D118" s="1">
        <v>32</v>
      </c>
      <c r="E118" s="1">
        <v>109</v>
      </c>
      <c r="F118" s="1">
        <v>243</v>
      </c>
      <c r="G118" s="1">
        <v>464</v>
      </c>
    </row>
    <row r="119" spans="1:7" x14ac:dyDescent="0.25">
      <c r="A119" s="3" t="s">
        <v>95</v>
      </c>
      <c r="B119" s="1">
        <v>43</v>
      </c>
      <c r="C119" s="1">
        <v>37</v>
      </c>
      <c r="D119" s="1">
        <v>32</v>
      </c>
      <c r="E119" s="1">
        <v>109</v>
      </c>
      <c r="F119" s="1">
        <v>243</v>
      </c>
      <c r="G119" s="1">
        <v>464</v>
      </c>
    </row>
    <row r="121" spans="1:7" x14ac:dyDescent="0.25">
      <c r="B121" s="6" t="s">
        <v>249</v>
      </c>
      <c r="C121" s="6" t="s">
        <v>255</v>
      </c>
    </row>
    <row r="122" spans="1:7" x14ac:dyDescent="0.25">
      <c r="B122" s="6" t="s">
        <v>250</v>
      </c>
      <c r="C122" s="8">
        <f>GETPIVOTDATA("Sum of Usia 0-11",$A$117)/GETPIVOTDATA("Sum of Total",$A$117)</f>
        <v>9.2672413793103453E-2</v>
      </c>
    </row>
    <row r="123" spans="1:7" x14ac:dyDescent="0.25">
      <c r="B123" s="11" t="s">
        <v>251</v>
      </c>
      <c r="C123" s="8">
        <f>GETPIVOTDATA("Sum of Usia 12-25",$A$117)/GETPIVOTDATA("Sum of Total",$A$117)</f>
        <v>7.9741379310344834E-2</v>
      </c>
    </row>
    <row r="124" spans="1:7" x14ac:dyDescent="0.25">
      <c r="B124" s="6" t="s">
        <v>252</v>
      </c>
      <c r="C124" s="8">
        <f>GETPIVOTDATA("Sum of Usia 26-45",$A$117)/GETPIVOTDATA("Sum of Total",$A$117)</f>
        <v>6.8965517241379309E-2</v>
      </c>
    </row>
    <row r="125" spans="1:7" x14ac:dyDescent="0.25">
      <c r="B125" s="6" t="s">
        <v>253</v>
      </c>
      <c r="C125" s="8">
        <f>GETPIVOTDATA("Sum of Usia 46-65",$A$117)/GETPIVOTDATA("Sum of Total",$A$117)</f>
        <v>0.23491379310344829</v>
      </c>
    </row>
    <row r="126" spans="1:7" x14ac:dyDescent="0.25">
      <c r="B126" s="6" t="s">
        <v>254</v>
      </c>
      <c r="C126" s="8">
        <f>GETPIVOTDATA("Sum of Diatas 65",$A$117)/GETPIVOTDATA("Sum of Total",$A$117)</f>
        <v>0.52370689655172409</v>
      </c>
    </row>
  </sheetData>
  <pageMargins left="0.7" right="0.7" top="0.75" bottom="0.75" header="0.3" footer="0.3"/>
  <pageSetup paperSize="9" orientation="portrait" r:id="rId1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E1419-8E80-44D8-847B-547802551EF0}">
  <dimension ref="A1:N22"/>
  <sheetViews>
    <sheetView workbookViewId="0"/>
  </sheetViews>
  <sheetFormatPr defaultRowHeight="15" x14ac:dyDescent="0.25"/>
  <cols>
    <col min="1" max="1" width="39.7109375" customWidth="1"/>
  </cols>
  <sheetData>
    <row r="1" spans="1:14" x14ac:dyDescent="0.25">
      <c r="A1" s="65" t="s">
        <v>272</v>
      </c>
      <c r="B1" s="65">
        <v>2017</v>
      </c>
      <c r="C1" s="65">
        <v>2018</v>
      </c>
      <c r="D1" s="65">
        <v>2019</v>
      </c>
      <c r="E1" s="65">
        <v>2020</v>
      </c>
      <c r="F1" s="65">
        <v>2021</v>
      </c>
      <c r="G1" s="65">
        <v>2022</v>
      </c>
    </row>
    <row r="2" spans="1:14" x14ac:dyDescent="0.25">
      <c r="A2" s="61" t="s">
        <v>273</v>
      </c>
      <c r="B2" s="58">
        <v>1799</v>
      </c>
      <c r="C2" s="59">
        <v>995</v>
      </c>
      <c r="D2" s="58">
        <v>1159</v>
      </c>
      <c r="E2" s="59">
        <v>0</v>
      </c>
      <c r="F2" s="59">
        <v>0</v>
      </c>
      <c r="G2" s="59"/>
    </row>
    <row r="3" spans="1:14" x14ac:dyDescent="0.25">
      <c r="A3" s="61" t="s">
        <v>274</v>
      </c>
      <c r="B3" s="59">
        <v>0</v>
      </c>
      <c r="C3" s="59">
        <v>950</v>
      </c>
      <c r="D3" s="58">
        <v>1005</v>
      </c>
      <c r="E3" s="59">
        <v>0</v>
      </c>
      <c r="F3" s="59">
        <v>0</v>
      </c>
      <c r="G3" s="59"/>
    </row>
    <row r="4" spans="1:14" x14ac:dyDescent="0.25">
      <c r="A4" s="61" t="s">
        <v>275</v>
      </c>
      <c r="B4" s="59">
        <v>2</v>
      </c>
      <c r="C4" s="59">
        <v>1</v>
      </c>
      <c r="D4" s="59">
        <v>0</v>
      </c>
      <c r="E4" s="59">
        <v>0</v>
      </c>
      <c r="F4" s="59">
        <v>0</v>
      </c>
      <c r="G4" s="59"/>
    </row>
    <row r="5" spans="1:14" x14ac:dyDescent="0.25">
      <c r="A5" s="61" t="s">
        <v>276</v>
      </c>
      <c r="B5" s="59">
        <v>56</v>
      </c>
      <c r="C5" s="59">
        <v>46</v>
      </c>
      <c r="D5" s="59">
        <v>40</v>
      </c>
      <c r="E5" s="59">
        <v>0</v>
      </c>
      <c r="F5" s="59">
        <v>0</v>
      </c>
      <c r="G5" s="59"/>
    </row>
    <row r="6" spans="1:14" ht="21" x14ac:dyDescent="0.25">
      <c r="A6" s="61" t="s">
        <v>277</v>
      </c>
      <c r="B6" s="59">
        <v>0</v>
      </c>
      <c r="C6" s="60">
        <v>0</v>
      </c>
      <c r="D6" s="60">
        <v>0</v>
      </c>
      <c r="E6" s="60">
        <v>0</v>
      </c>
      <c r="F6" s="60">
        <v>0</v>
      </c>
      <c r="G6" s="60"/>
    </row>
    <row r="7" spans="1:14" ht="21" x14ac:dyDescent="0.25">
      <c r="A7" s="61" t="s">
        <v>278</v>
      </c>
      <c r="B7" s="59">
        <v>0</v>
      </c>
      <c r="C7" s="60">
        <v>0</v>
      </c>
      <c r="D7" s="60">
        <v>0</v>
      </c>
      <c r="E7" s="60">
        <v>0</v>
      </c>
      <c r="F7" s="60">
        <v>0</v>
      </c>
      <c r="G7" s="60"/>
    </row>
    <row r="8" spans="1:14" ht="31.5" x14ac:dyDescent="0.25">
      <c r="A8" s="62" t="s">
        <v>279</v>
      </c>
      <c r="B8" s="59">
        <v>0</v>
      </c>
      <c r="C8" s="60">
        <v>0</v>
      </c>
      <c r="D8" s="60">
        <v>0</v>
      </c>
      <c r="E8" s="60">
        <v>0</v>
      </c>
      <c r="F8" s="60">
        <v>0</v>
      </c>
      <c r="G8" s="60"/>
    </row>
    <row r="9" spans="1:14" ht="31.5" x14ac:dyDescent="0.25">
      <c r="A9" s="61" t="s">
        <v>280</v>
      </c>
      <c r="B9" s="59">
        <v>0</v>
      </c>
      <c r="C9" s="60">
        <v>0</v>
      </c>
      <c r="D9" s="60">
        <v>0</v>
      </c>
      <c r="E9" s="60">
        <v>0</v>
      </c>
      <c r="F9" s="60">
        <v>0</v>
      </c>
      <c r="G9" s="60"/>
    </row>
    <row r="10" spans="1:14" ht="31.5" x14ac:dyDescent="0.25">
      <c r="A10" s="61" t="s">
        <v>281</v>
      </c>
      <c r="B10" s="59">
        <v>0</v>
      </c>
      <c r="C10" s="60">
        <v>0</v>
      </c>
      <c r="D10" s="60">
        <v>0</v>
      </c>
      <c r="E10" s="60">
        <v>0</v>
      </c>
      <c r="F10" s="60">
        <v>0</v>
      </c>
      <c r="G10" s="60"/>
    </row>
    <row r="11" spans="1:14" ht="21" x14ac:dyDescent="0.25">
      <c r="A11" s="61" t="s">
        <v>282</v>
      </c>
      <c r="B11" s="59">
        <v>10</v>
      </c>
      <c r="C11" s="59">
        <v>9</v>
      </c>
      <c r="D11" s="59">
        <v>18</v>
      </c>
      <c r="E11" s="59">
        <v>9</v>
      </c>
      <c r="F11" s="59">
        <v>14</v>
      </c>
      <c r="G11" s="59"/>
    </row>
    <row r="12" spans="1:14" ht="21" x14ac:dyDescent="0.25">
      <c r="A12" s="61" t="s">
        <v>283</v>
      </c>
      <c r="B12" s="59">
        <v>0</v>
      </c>
      <c r="C12" s="60">
        <v>0</v>
      </c>
      <c r="D12" s="60">
        <v>0</v>
      </c>
      <c r="E12" s="60">
        <v>0</v>
      </c>
      <c r="F12" s="60">
        <v>0</v>
      </c>
      <c r="G12" s="60"/>
    </row>
    <row r="13" spans="1:14" x14ac:dyDescent="0.25">
      <c r="A13" s="61" t="s">
        <v>284</v>
      </c>
      <c r="B13" s="59">
        <v>0</v>
      </c>
      <c r="C13" s="60">
        <v>0</v>
      </c>
      <c r="D13" s="60">
        <v>0</v>
      </c>
      <c r="E13" s="60">
        <v>0</v>
      </c>
      <c r="F13" s="60">
        <v>0</v>
      </c>
      <c r="G13" s="60"/>
    </row>
    <row r="14" spans="1:14" x14ac:dyDescent="0.25">
      <c r="A14" s="66" t="s">
        <v>6</v>
      </c>
      <c r="B14" s="63">
        <f t="shared" ref="B14:G14" si="0">SUM(B2:B13)</f>
        <v>1867</v>
      </c>
      <c r="C14" s="64">
        <f t="shared" si="0"/>
        <v>2001</v>
      </c>
      <c r="D14" s="63">
        <f t="shared" si="0"/>
        <v>2222</v>
      </c>
      <c r="E14" s="64">
        <f t="shared" si="0"/>
        <v>9</v>
      </c>
      <c r="F14" s="64">
        <f t="shared" si="0"/>
        <v>14</v>
      </c>
      <c r="G14" s="64">
        <f t="shared" si="0"/>
        <v>0</v>
      </c>
    </row>
    <row r="16" spans="1:14" x14ac:dyDescent="0.25">
      <c r="A16" s="67" t="s">
        <v>1</v>
      </c>
      <c r="B16" s="68" t="s">
        <v>273</v>
      </c>
      <c r="C16" s="68" t="s">
        <v>274</v>
      </c>
      <c r="D16" s="68" t="s">
        <v>275</v>
      </c>
      <c r="E16" s="68" t="s">
        <v>276</v>
      </c>
      <c r="F16" s="68" t="s">
        <v>277</v>
      </c>
      <c r="G16" s="68" t="s">
        <v>278</v>
      </c>
      <c r="H16" s="69" t="s">
        <v>279</v>
      </c>
      <c r="I16" s="68" t="s">
        <v>280</v>
      </c>
      <c r="J16" s="68" t="s">
        <v>281</v>
      </c>
      <c r="K16" s="68" t="s">
        <v>282</v>
      </c>
      <c r="L16" s="68" t="s">
        <v>283</v>
      </c>
      <c r="M16" s="68" t="s">
        <v>284</v>
      </c>
      <c r="N16" s="70" t="s">
        <v>6</v>
      </c>
    </row>
    <row r="17" spans="1:14" x14ac:dyDescent="0.25">
      <c r="A17" s="67">
        <v>2017</v>
      </c>
      <c r="B17" s="71">
        <v>1799</v>
      </c>
      <c r="C17" s="7">
        <v>0</v>
      </c>
      <c r="D17" s="7">
        <v>2</v>
      </c>
      <c r="E17" s="7">
        <v>56</v>
      </c>
      <c r="F17" s="7">
        <v>0</v>
      </c>
      <c r="G17" s="7">
        <v>0</v>
      </c>
      <c r="H17" s="7">
        <v>0</v>
      </c>
      <c r="I17" s="7">
        <v>0</v>
      </c>
      <c r="J17" s="7">
        <v>0</v>
      </c>
      <c r="K17" s="7">
        <v>10</v>
      </c>
      <c r="L17" s="7">
        <v>0</v>
      </c>
      <c r="M17" s="7">
        <v>0</v>
      </c>
      <c r="N17" s="72">
        <f t="shared" ref="N17:N22" si="1">SUM(B17:M17)</f>
        <v>1867</v>
      </c>
    </row>
    <row r="18" spans="1:14" x14ac:dyDescent="0.25">
      <c r="A18" s="67">
        <v>2018</v>
      </c>
      <c r="B18" s="7">
        <v>995</v>
      </c>
      <c r="C18" s="7">
        <v>950</v>
      </c>
      <c r="D18" s="7">
        <v>1</v>
      </c>
      <c r="E18" s="7">
        <v>46</v>
      </c>
      <c r="F18" s="73">
        <v>0</v>
      </c>
      <c r="G18" s="73">
        <v>0</v>
      </c>
      <c r="H18" s="73">
        <v>0</v>
      </c>
      <c r="I18" s="73">
        <v>0</v>
      </c>
      <c r="J18" s="73">
        <v>0</v>
      </c>
      <c r="K18" s="7">
        <v>9</v>
      </c>
      <c r="L18" s="73">
        <v>0</v>
      </c>
      <c r="M18" s="73">
        <v>0</v>
      </c>
      <c r="N18" s="74">
        <f t="shared" si="1"/>
        <v>2001</v>
      </c>
    </row>
    <row r="19" spans="1:14" x14ac:dyDescent="0.25">
      <c r="A19" s="67">
        <v>2019</v>
      </c>
      <c r="B19" s="71">
        <v>1159</v>
      </c>
      <c r="C19" s="71">
        <v>1005</v>
      </c>
      <c r="D19" s="7">
        <v>0</v>
      </c>
      <c r="E19" s="7">
        <v>40</v>
      </c>
      <c r="F19" s="73">
        <v>0</v>
      </c>
      <c r="G19" s="73">
        <v>0</v>
      </c>
      <c r="H19" s="73">
        <v>0</v>
      </c>
      <c r="I19" s="73">
        <v>0</v>
      </c>
      <c r="J19" s="73">
        <v>0</v>
      </c>
      <c r="K19" s="7">
        <v>18</v>
      </c>
      <c r="L19" s="73">
        <v>0</v>
      </c>
      <c r="M19" s="73">
        <v>0</v>
      </c>
      <c r="N19" s="72">
        <f t="shared" si="1"/>
        <v>2222</v>
      </c>
    </row>
    <row r="20" spans="1:14" x14ac:dyDescent="0.25">
      <c r="A20" s="67">
        <v>2020</v>
      </c>
      <c r="B20" s="7">
        <v>0</v>
      </c>
      <c r="C20" s="7">
        <v>0</v>
      </c>
      <c r="D20" s="7">
        <v>0</v>
      </c>
      <c r="E20" s="7">
        <v>0</v>
      </c>
      <c r="F20" s="73">
        <v>0</v>
      </c>
      <c r="G20" s="73">
        <v>0</v>
      </c>
      <c r="H20" s="73">
        <v>0</v>
      </c>
      <c r="I20" s="73">
        <v>0</v>
      </c>
      <c r="J20" s="73">
        <v>0</v>
      </c>
      <c r="K20" s="7">
        <v>9</v>
      </c>
      <c r="L20" s="73">
        <v>0</v>
      </c>
      <c r="M20" s="73">
        <v>0</v>
      </c>
      <c r="N20" s="74">
        <f t="shared" si="1"/>
        <v>9</v>
      </c>
    </row>
    <row r="21" spans="1:14" x14ac:dyDescent="0.25">
      <c r="A21" s="67">
        <v>2021</v>
      </c>
      <c r="B21" s="7">
        <v>0</v>
      </c>
      <c r="C21" s="7">
        <v>0</v>
      </c>
      <c r="D21" s="7">
        <v>0</v>
      </c>
      <c r="E21" s="7">
        <v>0</v>
      </c>
      <c r="F21" s="73">
        <v>0</v>
      </c>
      <c r="G21" s="73">
        <v>0</v>
      </c>
      <c r="H21" s="73">
        <v>0</v>
      </c>
      <c r="I21" s="73">
        <v>0</v>
      </c>
      <c r="J21" s="73">
        <v>0</v>
      </c>
      <c r="K21" s="7">
        <v>14</v>
      </c>
      <c r="L21" s="73">
        <v>0</v>
      </c>
      <c r="M21" s="73">
        <v>0</v>
      </c>
      <c r="N21" s="74">
        <f t="shared" si="1"/>
        <v>14</v>
      </c>
    </row>
    <row r="22" spans="1:14" x14ac:dyDescent="0.25">
      <c r="A22" s="67">
        <v>2022</v>
      </c>
      <c r="B22" s="7"/>
      <c r="C22" s="7"/>
      <c r="D22" s="7"/>
      <c r="E22" s="7"/>
      <c r="F22" s="73"/>
      <c r="G22" s="73"/>
      <c r="H22" s="73"/>
      <c r="I22" s="73"/>
      <c r="J22" s="73"/>
      <c r="K22" s="7"/>
      <c r="L22" s="73"/>
      <c r="M22" s="73"/>
      <c r="N22" s="74">
        <f t="shared" si="1"/>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A917E0-8EBF-4F47-8013-50D8E69FC5A8}">
  <dimension ref="A1:Z45"/>
  <sheetViews>
    <sheetView zoomScale="55" zoomScaleNormal="55" workbookViewId="0"/>
  </sheetViews>
  <sheetFormatPr defaultRowHeight="15" x14ac:dyDescent="0.25"/>
  <cols>
    <col min="1" max="13" width="146.42578125" bestFit="1" customWidth="1"/>
    <col min="14" max="14" width="78" bestFit="1" customWidth="1"/>
    <col min="15" max="15" width="67.140625" bestFit="1" customWidth="1"/>
    <col min="16" max="16" width="86.140625" bestFit="1" customWidth="1"/>
    <col min="17" max="17" width="64" bestFit="1" customWidth="1"/>
    <col min="18" max="18" width="89.42578125" bestFit="1" customWidth="1"/>
    <col min="19" max="19" width="113.85546875" bestFit="1" customWidth="1"/>
    <col min="20" max="20" width="144.28515625" bestFit="1" customWidth="1"/>
    <col min="21" max="21" width="150.28515625" bestFit="1" customWidth="1"/>
    <col min="22" max="22" width="153.7109375" bestFit="1" customWidth="1"/>
    <col min="23" max="23" width="94.140625" bestFit="1" customWidth="1"/>
    <col min="24" max="24" width="114.42578125" bestFit="1" customWidth="1"/>
    <col min="25" max="25" width="82" bestFit="1" customWidth="1"/>
    <col min="26" max="26" width="26.42578125" bestFit="1" customWidth="1"/>
    <col min="27" max="65" width="109.42578125" bestFit="1" customWidth="1"/>
    <col min="66" max="66" width="56.7109375" bestFit="1" customWidth="1"/>
    <col min="67" max="67" width="48.42578125" bestFit="1" customWidth="1"/>
    <col min="68" max="68" width="63.140625" bestFit="1" customWidth="1"/>
    <col min="69" max="69" width="47.140625" bestFit="1" customWidth="1"/>
    <col min="70" max="70" width="65.42578125" bestFit="1" customWidth="1"/>
    <col min="71" max="71" width="84" bestFit="1" customWidth="1"/>
    <col min="72" max="72" width="107" bestFit="1" customWidth="1"/>
    <col min="73" max="73" width="112.28515625" bestFit="1" customWidth="1"/>
    <col min="74" max="74" width="114.42578125" bestFit="1" customWidth="1"/>
    <col min="75" max="75" width="69.42578125" bestFit="1" customWidth="1"/>
    <col min="76" max="76" width="86" bestFit="1" customWidth="1"/>
    <col min="77" max="77" width="61.28515625" bestFit="1" customWidth="1"/>
    <col min="78" max="78" width="19" bestFit="1" customWidth="1"/>
    <col min="79" max="79" width="76.42578125" bestFit="1" customWidth="1"/>
    <col min="80" max="80" width="65.140625" bestFit="1" customWidth="1"/>
    <col min="81" max="81" width="83.140625" bestFit="1" customWidth="1"/>
    <col min="82" max="82" width="62.7109375" bestFit="1" customWidth="1"/>
    <col min="83" max="83" width="86.28515625" bestFit="1" customWidth="1"/>
    <col min="84" max="84" width="110.140625" bestFit="1" customWidth="1"/>
    <col min="85" max="85" width="140.28515625" bestFit="1" customWidth="1"/>
    <col min="86" max="86" width="145.7109375" bestFit="1" customWidth="1"/>
    <col min="87" max="87" width="149" bestFit="1" customWidth="1"/>
    <col min="88" max="88" width="91.85546875" bestFit="1" customWidth="1"/>
    <col min="89" max="89" width="111.28515625" bestFit="1" customWidth="1"/>
    <col min="90" max="90" width="80.28515625" bestFit="1" customWidth="1"/>
    <col min="91" max="91" width="26" bestFit="1" customWidth="1"/>
  </cols>
  <sheetData>
    <row r="1" spans="1:26" x14ac:dyDescent="0.25">
      <c r="A1" s="2" t="s">
        <v>247</v>
      </c>
    </row>
    <row r="2" spans="1:26" x14ac:dyDescent="0.25">
      <c r="A2">
        <v>2020</v>
      </c>
      <c r="N2" t="s">
        <v>298</v>
      </c>
      <c r="O2" t="s">
        <v>299</v>
      </c>
      <c r="P2" t="s">
        <v>300</v>
      </c>
      <c r="Q2" t="s">
        <v>301</v>
      </c>
      <c r="R2" t="s">
        <v>302</v>
      </c>
      <c r="S2" t="s">
        <v>303</v>
      </c>
      <c r="T2" t="s">
        <v>304</v>
      </c>
      <c r="U2" t="s">
        <v>305</v>
      </c>
      <c r="V2" t="s">
        <v>306</v>
      </c>
      <c r="W2" t="s">
        <v>307</v>
      </c>
      <c r="X2" t="s">
        <v>308</v>
      </c>
      <c r="Y2" t="s">
        <v>309</v>
      </c>
      <c r="Z2" t="s">
        <v>310</v>
      </c>
    </row>
    <row r="3" spans="1:26" x14ac:dyDescent="0.25">
      <c r="A3" t="s">
        <v>285</v>
      </c>
      <c r="B3" t="s">
        <v>286</v>
      </c>
      <c r="C3" t="s">
        <v>287</v>
      </c>
      <c r="D3" t="s">
        <v>288</v>
      </c>
      <c r="E3" t="s">
        <v>289</v>
      </c>
      <c r="F3" t="s">
        <v>290</v>
      </c>
      <c r="G3" t="s">
        <v>291</v>
      </c>
      <c r="H3" t="s">
        <v>292</v>
      </c>
      <c r="I3" t="s">
        <v>293</v>
      </c>
      <c r="J3" t="s">
        <v>294</v>
      </c>
      <c r="K3" t="s">
        <v>295</v>
      </c>
      <c r="L3" t="s">
        <v>296</v>
      </c>
      <c r="M3" t="s">
        <v>297</v>
      </c>
    </row>
    <row r="4" spans="1:26" x14ac:dyDescent="0.25">
      <c r="A4" s="1">
        <v>0</v>
      </c>
      <c r="B4" s="1">
        <v>0</v>
      </c>
      <c r="C4" s="1">
        <v>0</v>
      </c>
      <c r="D4" s="1">
        <v>0</v>
      </c>
      <c r="E4" s="1">
        <v>0</v>
      </c>
      <c r="F4" s="1">
        <v>0</v>
      </c>
      <c r="G4" s="1">
        <v>0</v>
      </c>
      <c r="H4" s="1">
        <v>0</v>
      </c>
      <c r="I4" s="1">
        <v>0</v>
      </c>
      <c r="J4" s="1">
        <v>9</v>
      </c>
      <c r="K4" s="1">
        <v>0</v>
      </c>
      <c r="L4" s="1">
        <v>0</v>
      </c>
      <c r="M4" s="1">
        <v>9</v>
      </c>
      <c r="N4" s="1">
        <v>0</v>
      </c>
      <c r="O4" s="1">
        <v>0</v>
      </c>
      <c r="P4" s="1">
        <v>0</v>
      </c>
      <c r="Q4" s="1">
        <v>0</v>
      </c>
      <c r="R4" s="1">
        <v>0</v>
      </c>
      <c r="S4" s="1">
        <v>0</v>
      </c>
      <c r="T4" s="1">
        <v>0</v>
      </c>
      <c r="U4" s="1">
        <v>0</v>
      </c>
      <c r="V4" s="1">
        <v>0</v>
      </c>
      <c r="W4" s="1">
        <v>9</v>
      </c>
      <c r="X4" s="1">
        <v>0</v>
      </c>
      <c r="Y4" s="1">
        <v>0</v>
      </c>
      <c r="Z4" s="1">
        <v>9</v>
      </c>
    </row>
    <row r="8" spans="1:26" x14ac:dyDescent="0.25">
      <c r="B8" s="2" t="s">
        <v>247</v>
      </c>
    </row>
    <row r="9" spans="1:26" x14ac:dyDescent="0.25">
      <c r="B9">
        <v>2017</v>
      </c>
      <c r="C9">
        <v>2018</v>
      </c>
      <c r="D9">
        <v>2019</v>
      </c>
      <c r="E9">
        <v>2020</v>
      </c>
      <c r="F9">
        <v>2021</v>
      </c>
      <c r="G9">
        <v>2022</v>
      </c>
      <c r="H9" t="s">
        <v>95</v>
      </c>
    </row>
    <row r="10" spans="1:26" x14ac:dyDescent="0.25">
      <c r="A10" t="s">
        <v>297</v>
      </c>
      <c r="B10" s="1">
        <v>1867</v>
      </c>
      <c r="C10" s="1">
        <v>2001</v>
      </c>
      <c r="D10" s="1">
        <v>2222</v>
      </c>
      <c r="E10" s="1">
        <v>9</v>
      </c>
      <c r="F10" s="1">
        <v>14</v>
      </c>
      <c r="G10" s="1">
        <v>0</v>
      </c>
      <c r="H10" s="1">
        <v>6113</v>
      </c>
    </row>
    <row r="12" spans="1:26" x14ac:dyDescent="0.25">
      <c r="B12" t="s">
        <v>1</v>
      </c>
      <c r="C12" t="s">
        <v>311</v>
      </c>
    </row>
    <row r="13" spans="1:26" x14ac:dyDescent="0.25">
      <c r="B13">
        <v>2017</v>
      </c>
      <c r="C13" s="75">
        <f>GETPIVOTDATA("Jumlah",$A$8,"Tahun",2017)/GETPIVOTDATA("Jumlah",$A$8)</f>
        <v>0.30541469000490756</v>
      </c>
    </row>
    <row r="14" spans="1:26" x14ac:dyDescent="0.25">
      <c r="B14">
        <v>2018</v>
      </c>
      <c r="C14" s="75">
        <f>GETPIVOTDATA("Jumlah",$A$8,"Tahun",2018)/GETPIVOTDATA("Jumlah",$A$8)</f>
        <v>0.32733518730574185</v>
      </c>
    </row>
    <row r="15" spans="1:26" x14ac:dyDescent="0.25">
      <c r="B15">
        <v>2019</v>
      </c>
      <c r="C15" s="75">
        <f>GETPIVOTDATA("Jumlah",$A$8,"Tahun",2019)/GETPIVOTDATA("Jumlah",$A$8)</f>
        <v>0.36348764927204319</v>
      </c>
    </row>
    <row r="16" spans="1:26" x14ac:dyDescent="0.25">
      <c r="B16">
        <v>2020</v>
      </c>
      <c r="C16" s="75">
        <f>GETPIVOTDATA("Jumlah",$A$8,"Tahun",2020)/GETPIVOTDATA("Jumlah",$A$8)</f>
        <v>1.4722722067724522E-3</v>
      </c>
    </row>
    <row r="17" spans="1:16" x14ac:dyDescent="0.25">
      <c r="B17">
        <v>2021</v>
      </c>
      <c r="C17" s="75">
        <f>GETPIVOTDATA("Jumlah",$A$8,"Tahun",2021)/GETPIVOTDATA("Jumlah",$A$8)</f>
        <v>2.2902012105349254E-3</v>
      </c>
    </row>
    <row r="18" spans="1:16" x14ac:dyDescent="0.25">
      <c r="B18">
        <v>2022</v>
      </c>
      <c r="C18" s="75">
        <f>GETPIVOTDATA("Jumlah",$A$8,"Tahun",2022)/GETPIVOTDATA("Jumlah",$A$8)</f>
        <v>0</v>
      </c>
    </row>
    <row r="20" spans="1:16" x14ac:dyDescent="0.25">
      <c r="B20" s="2" t="s">
        <v>247</v>
      </c>
      <c r="J20" s="2" t="s">
        <v>247</v>
      </c>
    </row>
    <row r="21" spans="1:16" x14ac:dyDescent="0.25">
      <c r="B21">
        <v>2017</v>
      </c>
      <c r="C21">
        <v>2018</v>
      </c>
      <c r="D21">
        <v>2019</v>
      </c>
      <c r="E21">
        <v>2020</v>
      </c>
      <c r="F21">
        <v>2021</v>
      </c>
      <c r="G21">
        <v>2022</v>
      </c>
      <c r="H21" t="s">
        <v>95</v>
      </c>
      <c r="J21">
        <v>2017</v>
      </c>
      <c r="K21">
        <v>2018</v>
      </c>
      <c r="L21">
        <v>2019</v>
      </c>
      <c r="M21">
        <v>2020</v>
      </c>
      <c r="N21">
        <v>2021</v>
      </c>
      <c r="O21">
        <v>2022</v>
      </c>
      <c r="P21" t="s">
        <v>95</v>
      </c>
    </row>
    <row r="22" spans="1:16" x14ac:dyDescent="0.25">
      <c r="A22" t="s">
        <v>285</v>
      </c>
      <c r="B22" s="1">
        <v>1799</v>
      </c>
      <c r="C22" s="1">
        <v>995</v>
      </c>
      <c r="D22" s="1">
        <v>1159</v>
      </c>
      <c r="E22" s="1">
        <v>0</v>
      </c>
      <c r="F22" s="1">
        <v>0</v>
      </c>
      <c r="G22" s="1"/>
      <c r="H22" s="1">
        <v>3953</v>
      </c>
      <c r="I22" t="s">
        <v>286</v>
      </c>
      <c r="J22" s="1">
        <v>0</v>
      </c>
      <c r="K22" s="1">
        <v>950</v>
      </c>
      <c r="L22" s="1">
        <v>1005</v>
      </c>
      <c r="M22" s="1">
        <v>0</v>
      </c>
      <c r="N22" s="1">
        <v>0</v>
      </c>
      <c r="O22" s="1"/>
      <c r="P22" s="1">
        <v>1955</v>
      </c>
    </row>
    <row r="24" spans="1:16" x14ac:dyDescent="0.25">
      <c r="B24" t="s">
        <v>1</v>
      </c>
      <c r="C24" t="s">
        <v>312</v>
      </c>
      <c r="D24" t="s">
        <v>313</v>
      </c>
      <c r="E24" t="s">
        <v>314</v>
      </c>
      <c r="F24" t="s">
        <v>315</v>
      </c>
      <c r="G24" t="s">
        <v>316</v>
      </c>
      <c r="H24" t="s">
        <v>317</v>
      </c>
      <c r="I24" t="s">
        <v>318</v>
      </c>
      <c r="J24" t="s">
        <v>319</v>
      </c>
      <c r="K24" t="s">
        <v>320</v>
      </c>
      <c r="L24" t="s">
        <v>321</v>
      </c>
      <c r="M24" t="s">
        <v>322</v>
      </c>
      <c r="N24" t="s">
        <v>323</v>
      </c>
    </row>
    <row r="25" spans="1:16" x14ac:dyDescent="0.25">
      <c r="B25">
        <v>2017</v>
      </c>
      <c r="C25" s="75">
        <f>B22/H22</f>
        <v>0.45509739438401214</v>
      </c>
      <c r="D25" s="75">
        <f>J22/P22</f>
        <v>0</v>
      </c>
      <c r="E25" s="75">
        <f>GETPIVOTDATA("Terselesaikannya Surat Ijin Mendirikan Bangunan (IMB)",$A$31,"Tahun",2017)/GETPIVOTDATA("Terselesaikannya Surat Ijin Mendirikan Bangunan (IMB)",$A$31)</f>
        <v>0.66666666666666663</v>
      </c>
      <c r="F25" s="75">
        <f>GETPIVOTDATA("Terselesaikannya Surat Ijin Keramaian",$I$31,"Tahun",2017)/GETPIVOTDATA("Terselesaikannya Surat Ijin Keramaian",$I$31)</f>
        <v>0.39436619718309857</v>
      </c>
      <c r="G25" s="75">
        <v>0</v>
      </c>
      <c r="H25" s="75">
        <v>0</v>
      </c>
      <c r="I25" s="75">
        <v>0</v>
      </c>
      <c r="J25" s="75">
        <v>0</v>
      </c>
      <c r="K25" s="75">
        <v>0</v>
      </c>
      <c r="L25" s="75">
        <f>GETPIVOTDATA("Terselesaikannya Surat rekomendasi Ijin usaha mikro dan kecil",$I$40,"Tahun",2017)/GETPIVOTDATA("Terselesaikannya Surat rekomendasi Ijin usaha mikro dan kecil",$I$40)</f>
        <v>0.16666666666666666</v>
      </c>
      <c r="M25" s="75">
        <v>0</v>
      </c>
      <c r="N25" s="75">
        <v>0</v>
      </c>
    </row>
    <row r="26" spans="1:16" x14ac:dyDescent="0.25">
      <c r="B26">
        <v>2018</v>
      </c>
      <c r="C26" s="75">
        <f>C22/H22</f>
        <v>0.25170756387553755</v>
      </c>
      <c r="D26" s="75">
        <f>K22/P22</f>
        <v>0.48593350383631712</v>
      </c>
      <c r="E26" s="75">
        <f>GETPIVOTDATA("Terselesaikannya Surat Ijin Mendirikan Bangunan (IMB)",$A$31,"Tahun",2018)/GETPIVOTDATA("Terselesaikannya Surat Ijin Mendirikan Bangunan (IMB)",$A$31)</f>
        <v>0.33333333333333331</v>
      </c>
      <c r="F26" s="75">
        <f>GETPIVOTDATA("Terselesaikannya Surat Ijin Keramaian",$I$31,"Tahun",2018)/GETPIVOTDATA("Terselesaikannya Surat Ijin Keramaian",$I$31)</f>
        <v>0.323943661971831</v>
      </c>
      <c r="G26" s="75">
        <v>0</v>
      </c>
      <c r="H26" s="75">
        <v>0</v>
      </c>
      <c r="I26" s="75">
        <v>0</v>
      </c>
      <c r="J26" s="75">
        <v>0</v>
      </c>
      <c r="K26" s="75">
        <v>0</v>
      </c>
      <c r="L26" s="75">
        <f>GETPIVOTDATA("Terselesaikannya Surat rekomendasi Ijin usaha mikro dan kecil",$I$40,"Tahun",2018)/GETPIVOTDATA("Terselesaikannya Surat rekomendasi Ijin usaha mikro dan kecil",$I$40)</f>
        <v>0.15</v>
      </c>
      <c r="M26" s="75">
        <v>0</v>
      </c>
      <c r="N26" s="75">
        <v>0</v>
      </c>
    </row>
    <row r="27" spans="1:16" x14ac:dyDescent="0.25">
      <c r="B27">
        <v>2019</v>
      </c>
      <c r="C27" s="75">
        <f>D22/H22</f>
        <v>0.2931950417404503</v>
      </c>
      <c r="D27" s="75">
        <f>L22/P22</f>
        <v>0.51406649616368283</v>
      </c>
      <c r="E27" s="75">
        <f>GETPIVOTDATA("Terselesaikannya Surat Ijin Mendirikan Bangunan (IMB)",$A$31,"Tahun",2019)/GETPIVOTDATA("Terselesaikannya Surat Ijin Mendirikan Bangunan (IMB)",$A$31)</f>
        <v>0</v>
      </c>
      <c r="F27" s="75">
        <f>GETPIVOTDATA("Terselesaikannya Surat Ijin Keramaian",$I$31,"Tahun",2019)/GETPIVOTDATA("Terselesaikannya Surat Ijin Keramaian",$I$31)</f>
        <v>0.28169014084507044</v>
      </c>
      <c r="G27" s="75">
        <v>0</v>
      </c>
      <c r="H27" s="75">
        <v>0</v>
      </c>
      <c r="I27" s="75">
        <v>0</v>
      </c>
      <c r="J27" s="75">
        <v>0</v>
      </c>
      <c r="K27" s="75">
        <v>0</v>
      </c>
      <c r="L27" s="75">
        <f>GETPIVOTDATA("Terselesaikannya Surat rekomendasi Ijin usaha mikro dan kecil",$I$40,"Tahun",2019)/GETPIVOTDATA("Terselesaikannya Surat rekomendasi Ijin usaha mikro dan kecil",$I$40)</f>
        <v>0.3</v>
      </c>
      <c r="M27" s="75">
        <v>0</v>
      </c>
      <c r="N27" s="75">
        <v>0</v>
      </c>
    </row>
    <row r="28" spans="1:16" x14ac:dyDescent="0.25">
      <c r="B28">
        <v>2020</v>
      </c>
      <c r="C28" s="75">
        <f>E22/H22</f>
        <v>0</v>
      </c>
      <c r="D28" s="75">
        <f>M22/P22</f>
        <v>0</v>
      </c>
      <c r="E28" s="75">
        <f>GETPIVOTDATA("Terselesaikannya Surat Ijin Mendirikan Bangunan (IMB)",$A$31,"Tahun",2020)/GETPIVOTDATA("Terselesaikannya Surat Ijin Mendirikan Bangunan (IMB)",$A$31)</f>
        <v>0</v>
      </c>
      <c r="F28" s="75">
        <f>GETPIVOTDATA("Terselesaikannya Surat Ijin Keramaian",$I$31,"Tahun",2020)/GETPIVOTDATA("Terselesaikannya Surat Ijin Keramaian",$I$31)</f>
        <v>0</v>
      </c>
      <c r="G28" s="75">
        <v>0</v>
      </c>
      <c r="H28" s="75">
        <v>0</v>
      </c>
      <c r="I28" s="75">
        <v>0</v>
      </c>
      <c r="J28" s="75">
        <v>0</v>
      </c>
      <c r="K28" s="75">
        <v>0</v>
      </c>
      <c r="L28" s="75">
        <f>GETPIVOTDATA("Terselesaikannya Surat rekomendasi Ijin usaha mikro dan kecil",$I$40,"Tahun",2020)/GETPIVOTDATA("Terselesaikannya Surat rekomendasi Ijin usaha mikro dan kecil",$I$40)</f>
        <v>0.15</v>
      </c>
      <c r="M28" s="75">
        <v>0</v>
      </c>
      <c r="N28" s="75">
        <v>0</v>
      </c>
    </row>
    <row r="29" spans="1:16" x14ac:dyDescent="0.25">
      <c r="B29">
        <v>2021</v>
      </c>
      <c r="C29" s="75">
        <f>F22/H22</f>
        <v>0</v>
      </c>
      <c r="D29" s="75">
        <f>N22/P22</f>
        <v>0</v>
      </c>
      <c r="E29" s="75">
        <f>GETPIVOTDATA("Terselesaikannya Surat Ijin Mendirikan Bangunan (IMB)",$A$31,"Tahun",2021)/GETPIVOTDATA("Terselesaikannya Surat Ijin Mendirikan Bangunan (IMB)",$A$31)</f>
        <v>0</v>
      </c>
      <c r="F29" s="75">
        <f>GETPIVOTDATA("Terselesaikannya Surat Ijin Keramaian",$I$31,"Tahun",2021)/GETPIVOTDATA("Terselesaikannya Surat Ijin Keramaian",$I$31)</f>
        <v>0</v>
      </c>
      <c r="G29" s="75">
        <v>0</v>
      </c>
      <c r="H29" s="75">
        <v>0</v>
      </c>
      <c r="I29" s="75">
        <v>0</v>
      </c>
      <c r="J29" s="75">
        <v>0</v>
      </c>
      <c r="K29" s="75">
        <v>0</v>
      </c>
      <c r="L29" s="75">
        <f>GETPIVOTDATA("Terselesaikannya Surat rekomendasi Ijin usaha mikro dan kecil",$I$40,"Tahun",2021)/GETPIVOTDATA("Terselesaikannya Surat rekomendasi Ijin usaha mikro dan kecil",$I$40)</f>
        <v>0.23333333333333334</v>
      </c>
      <c r="M29" s="75">
        <v>0</v>
      </c>
      <c r="N29" s="75">
        <v>0</v>
      </c>
    </row>
    <row r="30" spans="1:16" x14ac:dyDescent="0.25">
      <c r="B30">
        <v>2022</v>
      </c>
      <c r="C30" s="75">
        <f>G22/H22</f>
        <v>0</v>
      </c>
      <c r="D30" s="75">
        <f>O22/P22</f>
        <v>0</v>
      </c>
      <c r="E30" s="75">
        <f>GETPIVOTDATA("Terselesaikannya Surat Ijin Mendirikan Bangunan (IMB)",$A$31,"Tahun",2022)/GETPIVOTDATA("Terselesaikannya Surat Ijin Mendirikan Bangunan (IMB)",$A$31)</f>
        <v>0</v>
      </c>
      <c r="F30" s="75">
        <f>GETPIVOTDATA("Terselesaikannya Surat Ijin Keramaian",$I$31,"Tahun",2022)/GETPIVOTDATA("Terselesaikannya Surat Ijin Keramaian",$I$31)</f>
        <v>0</v>
      </c>
      <c r="G30" s="75">
        <v>0</v>
      </c>
      <c r="H30" s="75">
        <v>0</v>
      </c>
      <c r="I30" s="75">
        <v>0</v>
      </c>
      <c r="J30" s="75">
        <v>0</v>
      </c>
      <c r="K30" s="75">
        <v>0</v>
      </c>
      <c r="L30" s="75">
        <f>GETPIVOTDATA("Terselesaikannya Surat rekomendasi Ijin usaha mikro dan kecil",$I$40,"Tahun",2022)/GETPIVOTDATA("Terselesaikannya Surat rekomendasi Ijin usaha mikro dan kecil",$I$40)</f>
        <v>0</v>
      </c>
      <c r="M30" s="75">
        <v>0</v>
      </c>
      <c r="N30" s="75">
        <v>0</v>
      </c>
    </row>
    <row r="31" spans="1:16" x14ac:dyDescent="0.25">
      <c r="B31" s="2" t="s">
        <v>247</v>
      </c>
      <c r="J31" s="2" t="s">
        <v>247</v>
      </c>
    </row>
    <row r="32" spans="1:16" x14ac:dyDescent="0.25">
      <c r="B32">
        <v>2017</v>
      </c>
      <c r="C32">
        <v>2018</v>
      </c>
      <c r="D32">
        <v>2019</v>
      </c>
      <c r="E32">
        <v>2020</v>
      </c>
      <c r="F32">
        <v>2021</v>
      </c>
      <c r="G32">
        <v>2022</v>
      </c>
      <c r="H32" t="s">
        <v>95</v>
      </c>
      <c r="J32">
        <v>2017</v>
      </c>
      <c r="K32">
        <v>2018</v>
      </c>
      <c r="L32">
        <v>2019</v>
      </c>
      <c r="M32">
        <v>2020</v>
      </c>
      <c r="N32">
        <v>2021</v>
      </c>
      <c r="O32">
        <v>2022</v>
      </c>
      <c r="P32" t="s">
        <v>95</v>
      </c>
    </row>
    <row r="33" spans="1:16" x14ac:dyDescent="0.25">
      <c r="A33" t="s">
        <v>287</v>
      </c>
      <c r="B33" s="1">
        <v>2</v>
      </c>
      <c r="C33" s="1">
        <v>1</v>
      </c>
      <c r="D33" s="1">
        <v>0</v>
      </c>
      <c r="E33" s="1">
        <v>0</v>
      </c>
      <c r="F33" s="1">
        <v>0</v>
      </c>
      <c r="G33" s="1"/>
      <c r="H33" s="1">
        <v>3</v>
      </c>
      <c r="I33" t="s">
        <v>288</v>
      </c>
      <c r="J33" s="1">
        <v>56</v>
      </c>
      <c r="K33" s="1">
        <v>46</v>
      </c>
      <c r="L33" s="1">
        <v>40</v>
      </c>
      <c r="M33" s="1">
        <v>0</v>
      </c>
      <c r="N33" s="1">
        <v>0</v>
      </c>
      <c r="O33" s="1"/>
      <c r="P33" s="1">
        <v>142</v>
      </c>
    </row>
    <row r="34" spans="1:16" x14ac:dyDescent="0.25">
      <c r="B34" s="2" t="s">
        <v>247</v>
      </c>
      <c r="J34" s="2" t="s">
        <v>247</v>
      </c>
    </row>
    <row r="35" spans="1:16" x14ac:dyDescent="0.25">
      <c r="B35">
        <v>2017</v>
      </c>
      <c r="C35">
        <v>2018</v>
      </c>
      <c r="D35">
        <v>2019</v>
      </c>
      <c r="E35">
        <v>2020</v>
      </c>
      <c r="F35">
        <v>2021</v>
      </c>
      <c r="G35">
        <v>2022</v>
      </c>
      <c r="H35" t="s">
        <v>95</v>
      </c>
      <c r="J35">
        <v>2017</v>
      </c>
      <c r="K35">
        <v>2018</v>
      </c>
      <c r="L35">
        <v>2019</v>
      </c>
      <c r="M35">
        <v>2020</v>
      </c>
      <c r="N35">
        <v>2021</v>
      </c>
      <c r="O35">
        <v>2022</v>
      </c>
      <c r="P35" t="s">
        <v>95</v>
      </c>
    </row>
    <row r="36" spans="1:16" x14ac:dyDescent="0.25">
      <c r="A36" t="s">
        <v>289</v>
      </c>
      <c r="B36" s="1">
        <v>0</v>
      </c>
      <c r="C36" s="1">
        <v>0</v>
      </c>
      <c r="D36" s="1">
        <v>0</v>
      </c>
      <c r="E36" s="1">
        <v>0</v>
      </c>
      <c r="F36" s="1">
        <v>0</v>
      </c>
      <c r="G36" s="1"/>
      <c r="H36" s="1">
        <v>0</v>
      </c>
      <c r="I36" t="s">
        <v>290</v>
      </c>
      <c r="J36" s="1">
        <v>0</v>
      </c>
      <c r="K36" s="1">
        <v>0</v>
      </c>
      <c r="L36" s="1">
        <v>0</v>
      </c>
      <c r="M36" s="1">
        <v>0</v>
      </c>
      <c r="N36" s="1">
        <v>0</v>
      </c>
      <c r="O36" s="1"/>
      <c r="P36" s="1">
        <v>0</v>
      </c>
    </row>
    <row r="37" spans="1:16" x14ac:dyDescent="0.25">
      <c r="B37" s="2" t="s">
        <v>247</v>
      </c>
      <c r="J37" s="2" t="s">
        <v>247</v>
      </c>
    </row>
    <row r="38" spans="1:16" x14ac:dyDescent="0.25">
      <c r="B38">
        <v>2017</v>
      </c>
      <c r="C38">
        <v>2018</v>
      </c>
      <c r="D38">
        <v>2019</v>
      </c>
      <c r="E38">
        <v>2020</v>
      </c>
      <c r="F38">
        <v>2021</v>
      </c>
      <c r="G38">
        <v>2022</v>
      </c>
      <c r="H38" t="s">
        <v>95</v>
      </c>
      <c r="J38">
        <v>2017</v>
      </c>
      <c r="K38">
        <v>2018</v>
      </c>
      <c r="L38">
        <v>2019</v>
      </c>
      <c r="M38">
        <v>2020</v>
      </c>
      <c r="N38">
        <v>2021</v>
      </c>
      <c r="O38">
        <v>2022</v>
      </c>
      <c r="P38" t="s">
        <v>95</v>
      </c>
    </row>
    <row r="39" spans="1:16" x14ac:dyDescent="0.25">
      <c r="A39" t="s">
        <v>291</v>
      </c>
      <c r="B39" s="1">
        <v>0</v>
      </c>
      <c r="C39" s="1">
        <v>0</v>
      </c>
      <c r="D39" s="1">
        <v>0</v>
      </c>
      <c r="E39" s="1">
        <v>0</v>
      </c>
      <c r="F39" s="1">
        <v>0</v>
      </c>
      <c r="G39" s="1"/>
      <c r="H39" s="1">
        <v>0</v>
      </c>
      <c r="I39" t="s">
        <v>292</v>
      </c>
      <c r="J39" s="1">
        <v>0</v>
      </c>
      <c r="K39" s="1">
        <v>0</v>
      </c>
      <c r="L39" s="1">
        <v>0</v>
      </c>
      <c r="M39" s="1">
        <v>0</v>
      </c>
      <c r="N39" s="1">
        <v>0</v>
      </c>
      <c r="O39" s="1"/>
      <c r="P39" s="1">
        <v>0</v>
      </c>
    </row>
    <row r="40" spans="1:16" x14ac:dyDescent="0.25">
      <c r="B40" s="2" t="s">
        <v>247</v>
      </c>
      <c r="J40" s="2" t="s">
        <v>247</v>
      </c>
    </row>
    <row r="41" spans="1:16" x14ac:dyDescent="0.25">
      <c r="B41">
        <v>2017</v>
      </c>
      <c r="C41">
        <v>2018</v>
      </c>
      <c r="D41">
        <v>2019</v>
      </c>
      <c r="E41">
        <v>2020</v>
      </c>
      <c r="F41">
        <v>2021</v>
      </c>
      <c r="G41">
        <v>2022</v>
      </c>
      <c r="H41" t="s">
        <v>95</v>
      </c>
      <c r="J41">
        <v>2017</v>
      </c>
      <c r="K41">
        <v>2018</v>
      </c>
      <c r="L41">
        <v>2019</v>
      </c>
      <c r="M41">
        <v>2020</v>
      </c>
      <c r="N41">
        <v>2021</v>
      </c>
      <c r="O41">
        <v>2022</v>
      </c>
      <c r="P41" t="s">
        <v>95</v>
      </c>
    </row>
    <row r="42" spans="1:16" x14ac:dyDescent="0.25">
      <c r="A42" t="s">
        <v>293</v>
      </c>
      <c r="B42" s="1">
        <v>0</v>
      </c>
      <c r="C42" s="1">
        <v>0</v>
      </c>
      <c r="D42" s="1">
        <v>0</v>
      </c>
      <c r="E42" s="1">
        <v>0</v>
      </c>
      <c r="F42" s="1">
        <v>0</v>
      </c>
      <c r="G42" s="1"/>
      <c r="H42" s="1">
        <v>0</v>
      </c>
      <c r="I42" t="s">
        <v>294</v>
      </c>
      <c r="J42" s="1">
        <v>10</v>
      </c>
      <c r="K42" s="1">
        <v>9</v>
      </c>
      <c r="L42" s="1">
        <v>18</v>
      </c>
      <c r="M42" s="1">
        <v>9</v>
      </c>
      <c r="N42" s="1">
        <v>14</v>
      </c>
      <c r="O42" s="1"/>
      <c r="P42" s="1">
        <v>60</v>
      </c>
    </row>
    <row r="43" spans="1:16" x14ac:dyDescent="0.25">
      <c r="B43" s="2" t="s">
        <v>247</v>
      </c>
      <c r="J43" s="2" t="s">
        <v>247</v>
      </c>
    </row>
    <row r="44" spans="1:16" x14ac:dyDescent="0.25">
      <c r="B44">
        <v>2017</v>
      </c>
      <c r="C44">
        <v>2018</v>
      </c>
      <c r="D44">
        <v>2019</v>
      </c>
      <c r="E44">
        <v>2020</v>
      </c>
      <c r="F44">
        <v>2021</v>
      </c>
      <c r="G44">
        <v>2022</v>
      </c>
      <c r="H44" t="s">
        <v>95</v>
      </c>
      <c r="J44">
        <v>2017</v>
      </c>
      <c r="K44">
        <v>2018</v>
      </c>
      <c r="L44">
        <v>2019</v>
      </c>
      <c r="M44">
        <v>2020</v>
      </c>
      <c r="N44">
        <v>2021</v>
      </c>
      <c r="O44">
        <v>2022</v>
      </c>
      <c r="P44" t="s">
        <v>95</v>
      </c>
    </row>
    <row r="45" spans="1:16" x14ac:dyDescent="0.25">
      <c r="A45" t="s">
        <v>295</v>
      </c>
      <c r="B45" s="1">
        <v>0</v>
      </c>
      <c r="C45" s="1">
        <v>0</v>
      </c>
      <c r="D45" s="1">
        <v>0</v>
      </c>
      <c r="E45" s="1">
        <v>0</v>
      </c>
      <c r="F45" s="1">
        <v>0</v>
      </c>
      <c r="G45" s="1"/>
      <c r="H45" s="1">
        <v>0</v>
      </c>
      <c r="I45" t="s">
        <v>296</v>
      </c>
      <c r="J45" s="1">
        <v>0</v>
      </c>
      <c r="K45" s="1">
        <v>0</v>
      </c>
      <c r="L45" s="1">
        <v>0</v>
      </c>
      <c r="M45" s="1">
        <v>0</v>
      </c>
      <c r="N45" s="1">
        <v>0</v>
      </c>
      <c r="O45" s="1"/>
      <c r="P45" s="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22A58-8887-483E-9975-D44D9E4C52C8}">
  <dimension ref="A1:A23"/>
  <sheetViews>
    <sheetView zoomScaleNormal="100" workbookViewId="0">
      <selection activeCell="A24" sqref="A24:XFD1048576"/>
    </sheetView>
  </sheetViews>
  <sheetFormatPr defaultColWidth="0" defaultRowHeight="15" zeroHeight="1" x14ac:dyDescent="0.25"/>
  <cols>
    <col min="1" max="21" width="9.140625" style="4" customWidth="1"/>
    <col min="22" max="16384" width="9.140625" style="4"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sheetData>
  <pageMargins left="0.7" right="0.7" top="0.75" bottom="0.75" header="0.3" footer="0.3"/>
  <pageSetup paperSize="9" orientation="landscape" horizontalDpi="0" verticalDpi="0"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03389-69C6-4370-98B7-898D655BAB44}">
  <dimension ref="A1:A23"/>
  <sheetViews>
    <sheetView tabSelected="1" zoomScaleNormal="100" workbookViewId="0">
      <selection activeCell="A24" sqref="A24:XFD1048576"/>
    </sheetView>
  </sheetViews>
  <sheetFormatPr defaultColWidth="0" defaultRowHeight="15" zeroHeight="1" x14ac:dyDescent="0.25"/>
  <cols>
    <col min="1" max="21" width="9.140625" style="4" customWidth="1"/>
    <col min="22" max="16384" width="9.140625" style="4"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Props1.xml><?xml version="1.0" encoding="utf-8"?>
<ds:datastoreItem xmlns:ds="http://schemas.openxmlformats.org/officeDocument/2006/customXml" ds:itemID="{0B6221DC-568C-4C87-BE6A-E3FEC3E8A789}">
  <ds:schemaRefs/>
</ds:datastoreItem>
</file>

<file path=customXml/itemProps2.xml><?xml version="1.0" encoding="utf-8"?>
<ds:datastoreItem xmlns:ds="http://schemas.openxmlformats.org/officeDocument/2006/customXml" ds:itemID="{5D973D75-5A8F-440B-A5FC-7E0A4741D91D}">
  <ds:schemaRefs/>
</ds:datastoreItem>
</file>

<file path=customXml/itemProps3.xml><?xml version="1.0" encoding="utf-8"?>
<ds:datastoreItem xmlns:ds="http://schemas.openxmlformats.org/officeDocument/2006/customXml" ds:itemID="{9793903D-A452-40B7-9808-7F686C0AF1BD}">
  <ds:schemaRefs/>
</ds:datastoreItem>
</file>

<file path=customXml/itemProps4.xml><?xml version="1.0" encoding="utf-8"?>
<ds:datastoreItem xmlns:ds="http://schemas.openxmlformats.org/officeDocument/2006/customXml" ds:itemID="{8011B6D9-AEA3-44B1-AA58-D6EA41ECA99D}">
  <ds:schemaRefs>
    <ds:schemaRef ds:uri="http://www.w3.org/2001/XMLSchema"/>
    <ds:schemaRef ds:uri="http://microsoft.data.visualization.engine.tours/1.0"/>
  </ds:schemaRefs>
</ds:datastoreItem>
</file>

<file path=customXml/itemProps5.xml><?xml version="1.0" encoding="utf-8"?>
<ds:datastoreItem xmlns:ds="http://schemas.openxmlformats.org/officeDocument/2006/customXml" ds:itemID="{505428C9-4594-4FB7-A610-BA51842A160C}">
  <ds:schemaRefs/>
</ds:datastoreItem>
</file>

<file path=customXml/itemProps6.xml><?xml version="1.0" encoding="utf-8"?>
<ds:datastoreItem xmlns:ds="http://schemas.openxmlformats.org/officeDocument/2006/customXml" ds:itemID="{7EBFD259-9816-4B61-BC29-4D9E50E5B456}">
  <ds:schemaRefs/>
</ds:datastoreItem>
</file>

<file path=customXml/itemProps7.xml><?xml version="1.0" encoding="utf-8"?>
<ds:datastoreItem xmlns:ds="http://schemas.openxmlformats.org/officeDocument/2006/customXml" ds:itemID="{71EBE9F4-14BD-4580-A238-F38DE59E8841}">
  <ds:schemaRefs/>
</ds:datastoreItem>
</file>

<file path=customXml/itemProps8.xml><?xml version="1.0" encoding="utf-8"?>
<ds:datastoreItem xmlns:ds="http://schemas.openxmlformats.org/officeDocument/2006/customXml" ds:itemID="{B72C27A7-C809-40CE-8A00-53D8858DF9F1}">
  <ds:schemaRefs/>
</ds:datastoreItem>
</file>

<file path=customXml/itemProps9.xml><?xml version="1.0" encoding="utf-8"?>
<ds:datastoreItem xmlns:ds="http://schemas.openxmlformats.org/officeDocument/2006/customXml" ds:itemID="{CF1A2182-CDF9-44B8-8F36-A2B8D2C78982}">
  <ds:schemaRefs/>
</ds:datastoreItem>
</file>

<file path=customXml/itemProps10.xml><?xml version="1.0" encoding="utf-8"?>
<ds:datastoreItem xmlns:ds="http://schemas.openxmlformats.org/officeDocument/2006/customXml" ds:itemID="{41382C58-7D7A-4DF9-9D0A-D9E73B90EF98}">
  <ds:schemaRefs/>
</ds:datastoreItem>
</file>

<file path=customXml/itemProps11.xml><?xml version="1.0" encoding="utf-8"?>
<ds:datastoreItem xmlns:ds="http://schemas.openxmlformats.org/officeDocument/2006/customXml" ds:itemID="{063D24E7-F784-427C-ABF2-6780E86E869E}">
  <ds:schemaRefs/>
</ds:datastoreItem>
</file>

<file path=customXml/itemProps12.xml><?xml version="1.0" encoding="utf-8"?>
<ds:datastoreItem xmlns:ds="http://schemas.openxmlformats.org/officeDocument/2006/customXml" ds:itemID="{3659DDC3-0018-4896-A1DE-8017F12175E4}">
  <ds:schemaRefs>
    <ds:schemaRef ds:uri="http://schemas.microsoft.com/DataMashup"/>
  </ds:schemaRefs>
</ds:datastoreItem>
</file>

<file path=customXml/itemProps13.xml><?xml version="1.0" encoding="utf-8"?>
<ds:datastoreItem xmlns:ds="http://schemas.openxmlformats.org/officeDocument/2006/customXml" ds:itemID="{757AB507-EA17-494E-B9E2-FF0DD39F720C}">
  <ds:schemaRefs/>
</ds:datastoreItem>
</file>

<file path=customXml/itemProps14.xml><?xml version="1.0" encoding="utf-8"?>
<ds:datastoreItem xmlns:ds="http://schemas.openxmlformats.org/officeDocument/2006/customXml" ds:itemID="{EEEAFEB9-B6EE-4F60-B2AE-188680F3787E}">
  <ds:schemaRefs>
    <ds:schemaRef ds:uri="http://www.w3.org/2001/XMLSchema"/>
    <ds:schemaRef ds:uri="http://microsoft.data.visualization.Client.Excel.LState/1.0"/>
  </ds:schemaRefs>
</ds:datastoreItem>
</file>

<file path=customXml/itemProps15.xml><?xml version="1.0" encoding="utf-8"?>
<ds:datastoreItem xmlns:ds="http://schemas.openxmlformats.org/officeDocument/2006/customXml" ds:itemID="{7A0EF631-FEB2-42A3-9D6D-25233D15BCC4}">
  <ds:schemaRefs/>
</ds:datastoreItem>
</file>

<file path=customXml/itemProps16.xml><?xml version="1.0" encoding="utf-8"?>
<ds:datastoreItem xmlns:ds="http://schemas.openxmlformats.org/officeDocument/2006/customXml" ds:itemID="{82D114A2-89E5-4280-B8E4-6DA86E526147}">
  <ds:schemaRefs/>
</ds:datastoreItem>
</file>

<file path=customXml/itemProps17.xml><?xml version="1.0" encoding="utf-8"?>
<ds:datastoreItem xmlns:ds="http://schemas.openxmlformats.org/officeDocument/2006/customXml" ds:itemID="{D5CD7F34-0FFD-4CC3-BE14-098E49E0C76D}">
  <ds:schemaRefs/>
</ds:datastoreItem>
</file>

<file path=customXml/itemProps18.xml><?xml version="1.0" encoding="utf-8"?>
<ds:datastoreItem xmlns:ds="http://schemas.openxmlformats.org/officeDocument/2006/customXml" ds:itemID="{D48AA476-30E6-4207-A1A4-4AB7646D23F5}">
  <ds:schemaRefs/>
</ds:datastoreItem>
</file>

<file path=customXml/itemProps19.xml><?xml version="1.0" encoding="utf-8"?>
<ds:datastoreItem xmlns:ds="http://schemas.openxmlformats.org/officeDocument/2006/customXml" ds:itemID="{E370BCF8-1A67-4EF2-9B12-294895283AC9}">
  <ds:schemaRefs/>
</ds:datastoreItem>
</file>

<file path=customXml/itemProps20.xml><?xml version="1.0" encoding="utf-8"?>
<ds:datastoreItem xmlns:ds="http://schemas.openxmlformats.org/officeDocument/2006/customXml" ds:itemID="{C748E6F8-56DA-4ADC-93D4-DBE3F8DACB4F}">
  <ds:schemaRefs/>
</ds:datastoreItem>
</file>

<file path=customXml/itemProps21.xml><?xml version="1.0" encoding="utf-8"?>
<ds:datastoreItem xmlns:ds="http://schemas.openxmlformats.org/officeDocument/2006/customXml" ds:itemID="{188E0EEA-9E71-4964-B9E6-FE49310C1377}">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PivotTable</vt:lpstr>
      <vt:lpstr>Data Tambahan</vt:lpstr>
      <vt:lpstr>PivotTableTambahan</vt:lpstr>
      <vt:lpstr>Dashboard</vt:lpstr>
      <vt:lpstr>Tampilan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nurizalaila17@outlook.com</cp:lastModifiedBy>
  <cp:lastPrinted>2022-09-22T23:20:06Z</cp:lastPrinted>
  <dcterms:created xsi:type="dcterms:W3CDTF">2022-07-15T02:17:19Z</dcterms:created>
  <dcterms:modified xsi:type="dcterms:W3CDTF">2022-09-22T23:21:03Z</dcterms:modified>
</cp:coreProperties>
</file>